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itriy\Desktop\ZP_automation_generation\"/>
    </mc:Choice>
  </mc:AlternateContent>
  <bookViews>
    <workbookView xWindow="0" yWindow="0" windowWidth="28800" windowHeight="12330"/>
  </bookViews>
  <sheets>
    <sheet name="Учет" sheetId="1" r:id="rId1"/>
  </sheets>
  <calcPr calcId="162913"/>
</workbook>
</file>

<file path=xl/calcChain.xml><?xml version="1.0" encoding="utf-8"?>
<calcChain xmlns="http://schemas.openxmlformats.org/spreadsheetml/2006/main">
  <c r="D383" i="1" l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K32" i="1"/>
  <c r="D32" i="1"/>
  <c r="D31" i="1"/>
  <c r="I30" i="1"/>
  <c r="H30" i="1"/>
  <c r="J30" i="1" s="1"/>
  <c r="L30" i="1" s="1"/>
  <c r="D30" i="1"/>
  <c r="D29" i="1"/>
  <c r="I28" i="1"/>
  <c r="H28" i="1"/>
  <c r="J28" i="1" s="1"/>
  <c r="L28" i="1" s="1"/>
  <c r="D28" i="1"/>
  <c r="D27" i="1"/>
  <c r="I26" i="1"/>
  <c r="H26" i="1"/>
  <c r="J26" i="1" s="1"/>
  <c r="L26" i="1" s="1"/>
  <c r="D26" i="1"/>
  <c r="D25" i="1"/>
  <c r="I24" i="1"/>
  <c r="H24" i="1"/>
  <c r="J24" i="1" s="1"/>
  <c r="L24" i="1" s="1"/>
  <c r="D24" i="1"/>
  <c r="D23" i="1"/>
  <c r="I22" i="1"/>
  <c r="H22" i="1"/>
  <c r="J22" i="1" s="1"/>
  <c r="L22" i="1" s="1"/>
  <c r="D22" i="1"/>
  <c r="D21" i="1"/>
  <c r="I20" i="1"/>
  <c r="H20" i="1"/>
  <c r="J20" i="1" s="1"/>
  <c r="L20" i="1" s="1"/>
  <c r="D20" i="1"/>
  <c r="D19" i="1"/>
  <c r="I18" i="1"/>
  <c r="H18" i="1"/>
  <c r="J18" i="1" s="1"/>
  <c r="L18" i="1" s="1"/>
  <c r="D18" i="1"/>
  <c r="D17" i="1"/>
  <c r="I16" i="1"/>
  <c r="H16" i="1"/>
  <c r="J16" i="1" s="1"/>
  <c r="L16" i="1" s="1"/>
  <c r="D16" i="1"/>
  <c r="D15" i="1"/>
  <c r="I14" i="1"/>
  <c r="H14" i="1"/>
  <c r="J14" i="1" s="1"/>
  <c r="L14" i="1" s="1"/>
  <c r="D14" i="1"/>
  <c r="D13" i="1"/>
  <c r="I12" i="1"/>
  <c r="H12" i="1"/>
  <c r="J12" i="1" s="1"/>
  <c r="L12" i="1" s="1"/>
  <c r="D12" i="1"/>
  <c r="D11" i="1"/>
  <c r="I10" i="1"/>
  <c r="H10" i="1"/>
  <c r="J10" i="1" s="1"/>
  <c r="L10" i="1" s="1"/>
  <c r="D10" i="1"/>
  <c r="D9" i="1"/>
  <c r="I8" i="1"/>
  <c r="I32" i="1" s="1"/>
  <c r="H8" i="1"/>
  <c r="H32" i="1" s="1"/>
  <c r="D8" i="1"/>
  <c r="B5" i="1"/>
  <c r="B4" i="1"/>
  <c r="J8" i="1" l="1"/>
  <c r="L8" i="1" l="1"/>
  <c r="L32" i="1" s="1"/>
  <c r="J32" i="1"/>
</calcChain>
</file>

<file path=xl/sharedStrings.xml><?xml version="1.0" encoding="utf-8"?>
<sst xmlns="http://schemas.openxmlformats.org/spreadsheetml/2006/main" count="393" uniqueCount="35">
  <si>
    <t>Месячный оклад:</t>
  </si>
  <si>
    <t>Часов в рабочем дне:</t>
  </si>
  <si>
    <t>Среднее рабочих дней в мес.:</t>
  </si>
  <si>
    <t>Стоимость 1 часа:</t>
  </si>
  <si>
    <t>Стоимость 1 рабочего дня:</t>
  </si>
  <si>
    <t>Дата</t>
  </si>
  <si>
    <t>День недели</t>
  </si>
  <si>
    <t>Часы</t>
  </si>
  <si>
    <t>Заработок за день</t>
  </si>
  <si>
    <t>Месяц</t>
  </si>
  <si>
    <t>Всего часов</t>
  </si>
  <si>
    <t>Рабочих дней</t>
  </si>
  <si>
    <t>ЗП без премии</t>
  </si>
  <si>
    <t>Премия (вручную)</t>
  </si>
  <si>
    <t>Итого с премией</t>
  </si>
  <si>
    <t>Четверг</t>
  </si>
  <si>
    <t>Январь</t>
  </si>
  <si>
    <t>Пятница</t>
  </si>
  <si>
    <t>Суббота</t>
  </si>
  <si>
    <t>Февраль</t>
  </si>
  <si>
    <t>Воскресенье</t>
  </si>
  <si>
    <t>Понедельник</t>
  </si>
  <si>
    <t>Март</t>
  </si>
  <si>
    <t>Вторник</t>
  </si>
  <si>
    <t>Среда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</si>
  <si>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</si>
  <si>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</si>
  <si>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</si>
  <si>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</si>
  <si>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</si>
  <si>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</si>
  <si>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</si>
  <si>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</si>
  <si>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</si>
  <si>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 ЗА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</si>
</sst>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6E6E6"/>
        <bgColor rgb="FFE6E6E6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0" fontId="1" fillId="5" borderId="1" xfId="0" applyFont="1" applyFill="1" applyBorder="1"/>
    <xf numFmtId="4" fontId="1" fillId="5" borderId="1" xfId="0" applyNumberFormat="1" applyFont="1" applyFill="1" applyBorder="1" applyAlignment="1">
      <alignment horizontal="center"/>
    </xf>
    <xf numFmtId="4" fontId="0" fillId="0" borderId="1" xfId="0" applyNumberFormat="1" applyBorder="1"/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3"/>
  <sheetViews>
    <sheetView tabSelected="1" workbookViewId="0">
      <selection activeCell="Q14" sqref="Q14"/>
    </sheetView>
  </sheetViews>
  <sheetFormatPr defaultRowHeight="15" x14ac:dyDescent="0.25"/>
  <cols>
    <col min="1" max="1" width="16.140625" customWidth="1"/>
    <col min="2" max="2" width="15" customWidth="1"/>
    <col min="3" max="3" width="10" customWidth="1"/>
    <col min="4" max="4" width="19.28515625" customWidth="1"/>
    <col min="7" max="7" width="14" customWidth="1"/>
    <col min="8" max="8" width="12" customWidth="1"/>
    <col min="9" max="9" width="15.5703125" customWidth="1"/>
    <col min="10" max="10" width="16.5703125" customWidth="1"/>
    <col min="11" max="11" width="18" customWidth="1"/>
    <col min="12" max="12" width="17.7109375" customWidth="1"/>
  </cols>
  <sheetData>
    <row r="1" spans="1:12" x14ac:dyDescent="0.25">
      <c r="A1" s="4" t="s">
        <v>0</v>
      </c>
      <c r="B1" s="9">
        <v>50000</v>
      </c>
      <c r="C1" s="4"/>
    </row>
    <row r="2" spans="1:12" x14ac:dyDescent="0.25">
      <c r="A2" s="4" t="s">
        <v>1</v>
      </c>
      <c r="B2" s="9">
        <v>8</v>
      </c>
      <c r="C2" s="4"/>
    </row>
    <row r="3" spans="1:12" x14ac:dyDescent="0.25">
      <c r="A3" s="4" t="s">
        <v>2</v>
      </c>
      <c r="B3" s="9">
        <v>21.75</v>
      </c>
      <c r="C3" s="4"/>
    </row>
    <row r="4" spans="1:12" x14ac:dyDescent="0.25">
      <c r="A4" s="4" t="s">
        <v>3</v>
      </c>
      <c r="B4" s="9">
        <f>B1/(B2*B3)</f>
        <v>287.35632183908046</v>
      </c>
      <c r="C4" s="4"/>
    </row>
    <row r="5" spans="1:12" x14ac:dyDescent="0.25">
      <c r="A5" s="4" t="s">
        <v>4</v>
      </c>
      <c r="B5" s="9">
        <f>B1/B3</f>
        <v>2298.8505747126437</v>
      </c>
      <c r="C5" s="4"/>
    </row>
    <row r="7" spans="1:12" x14ac:dyDescent="0.25">
      <c r="A7" s="1" t="s">
        <v>5</v>
      </c>
      <c r="B7" s="1" t="s">
        <v>6</v>
      </c>
      <c r="C7" s="1" t="s">
        <v>7</v>
      </c>
      <c r="D7" s="1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x14ac:dyDescent="0.25">
      <c r="A8" s="10">
        <v>46023</v>
      </c>
      <c r="B8" s="11" t="s">
        <v>15</v>
      </c>
      <c r="C8" s="12"/>
      <c r="D8" s="13">
        <f t="shared" ref="D8:D38" si="0">IF(C8&gt;0, C8*$B$4, 0)</f>
        <v>0</v>
      </c>
      <c r="G8" s="2" t="s">
        <v>16</v>
      </c>
      <c r="H8" s="3">
        <f>SUMPRODUCT((MONTH($A$8:$A$383)=1)*(ISNUMBER($A$8:$A$383))*$C$8:$C$383)</f>
        <v>0</v>
      </c>
      <c r="I8" s="3">
        <f>SUMPRODUCT((MONTH($A$8:$A$383)=1)*(ISNUMBER($A$8:$A$383))*($C$8:$C$383&gt;0))</f>
        <v>0</v>
      </c>
      <c r="J8" s="3">
        <f>H8*$B$4</f>
        <v>0</v>
      </c>
      <c r="K8" s="2"/>
      <c r="L8" s="3">
        <f>J8+K8</f>
        <v>0</v>
      </c>
    </row>
    <row r="9" spans="1:12" x14ac:dyDescent="0.25">
      <c r="A9" s="10">
        <v>46024</v>
      </c>
      <c r="B9" s="11" t="s">
        <v>17</v>
      </c>
      <c r="C9" s="12"/>
      <c r="D9" s="13">
        <f t="shared" si="0"/>
        <v>0</v>
      </c>
      <c r="G9" s="4"/>
      <c r="H9" s="4"/>
      <c r="I9" s="4"/>
      <c r="J9" s="4"/>
      <c r="K9" s="4"/>
      <c r="L9" s="4"/>
    </row>
    <row r="10" spans="1:12" x14ac:dyDescent="0.25">
      <c r="A10" s="10">
        <v>46025</v>
      </c>
      <c r="B10" s="11" t="s">
        <v>18</v>
      </c>
      <c r="C10" s="12"/>
      <c r="D10" s="13">
        <f t="shared" si="0"/>
        <v>0</v>
      </c>
      <c r="G10" s="5" t="s">
        <v>19</v>
      </c>
      <c r="H10" s="6">
        <f>SUMPRODUCT((MONTH($A$8:$A$383)=2)*(ISNUMBER($A$8:$A$383))*$C$8:$C$383)</f>
        <v>0</v>
      </c>
      <c r="I10" s="6">
        <f>SUMPRODUCT((MONTH($A$8:$A$383)=2)*(ISNUMBER($A$8:$A$383))*($C$8:$C$383&gt;0))</f>
        <v>0</v>
      </c>
      <c r="J10" s="6">
        <f>H10*$B$4</f>
        <v>0</v>
      </c>
      <c r="K10" s="5"/>
      <c r="L10" s="6">
        <f>J10+K10</f>
        <v>0</v>
      </c>
    </row>
    <row r="11" spans="1:12" x14ac:dyDescent="0.25">
      <c r="A11" s="10">
        <v>46026</v>
      </c>
      <c r="B11" s="11" t="s">
        <v>20</v>
      </c>
      <c r="C11" s="12"/>
      <c r="D11" s="13">
        <f t="shared" si="0"/>
        <v>0</v>
      </c>
      <c r="G11" s="4"/>
      <c r="H11" s="4"/>
      <c r="I11" s="4"/>
      <c r="J11" s="4"/>
      <c r="K11" s="4"/>
      <c r="L11" s="4"/>
    </row>
    <row r="12" spans="1:12" x14ac:dyDescent="0.25">
      <c r="A12" s="10">
        <v>46027</v>
      </c>
      <c r="B12" s="11" t="s">
        <v>21</v>
      </c>
      <c r="C12" s="12"/>
      <c r="D12" s="13">
        <f t="shared" si="0"/>
        <v>0</v>
      </c>
      <c r="G12" s="2" t="s">
        <v>22</v>
      </c>
      <c r="H12" s="3">
        <f>SUMPRODUCT((MONTH($A$8:$A$383)=3)*(ISNUMBER($A$8:$A$383))*$C$8:$C$383)</f>
        <v>0</v>
      </c>
      <c r="I12" s="3">
        <f>SUMPRODUCT((MONTH($A$8:$A$383)=3)*(ISNUMBER($A$8:$A$383))*($C$8:$C$383&gt;0))</f>
        <v>0</v>
      </c>
      <c r="J12" s="3">
        <f>H12*$B$4</f>
        <v>0</v>
      </c>
      <c r="K12" s="2"/>
      <c r="L12" s="3">
        <f>J12+K12</f>
        <v>0</v>
      </c>
    </row>
    <row r="13" spans="1:12" x14ac:dyDescent="0.25">
      <c r="A13" s="10">
        <v>46028</v>
      </c>
      <c r="B13" s="11" t="s">
        <v>23</v>
      </c>
      <c r="C13" s="12"/>
      <c r="D13" s="13">
        <f t="shared" si="0"/>
        <v>0</v>
      </c>
      <c r="G13" s="4"/>
      <c r="H13" s="4"/>
      <c r="I13" s="4"/>
      <c r="J13" s="4"/>
      <c r="K13" s="4"/>
      <c r="L13" s="4"/>
    </row>
    <row r="14" spans="1:12" x14ac:dyDescent="0.25">
      <c r="A14" s="10">
        <v>46029</v>
      </c>
      <c r="B14" s="11" t="s">
        <v>24</v>
      </c>
      <c r="C14" s="12"/>
      <c r="D14" s="13">
        <f t="shared" si="0"/>
        <v>0</v>
      </c>
      <c r="G14" s="5" t="s">
        <v>25</v>
      </c>
      <c r="H14" s="6">
        <f>SUMPRODUCT((MONTH($A$8:$A$383)=4)*(ISNUMBER($A$8:$A$383))*$C$8:$C$383)</f>
        <v>0</v>
      </c>
      <c r="I14" s="6">
        <f>SUMPRODUCT((MONTH($A$8:$A$383)=4)*(ISNUMBER($A$8:$A$383))*($C$8:$C$383&gt;0))</f>
        <v>0</v>
      </c>
      <c r="J14" s="6">
        <f>H14*$B$4</f>
        <v>0</v>
      </c>
      <c r="K14" s="5"/>
      <c r="L14" s="6">
        <f>J14+K14</f>
        <v>0</v>
      </c>
    </row>
    <row r="15" spans="1:12" x14ac:dyDescent="0.25">
      <c r="A15" s="10">
        <v>46030</v>
      </c>
      <c r="B15" s="11" t="s">
        <v>15</v>
      </c>
      <c r="C15" s="12"/>
      <c r="D15" s="13">
        <f t="shared" si="0"/>
        <v>0</v>
      </c>
      <c r="G15" s="4"/>
      <c r="H15" s="4"/>
      <c r="I15" s="4"/>
      <c r="J15" s="4"/>
      <c r="K15" s="4"/>
      <c r="L15" s="4"/>
    </row>
    <row r="16" spans="1:12" x14ac:dyDescent="0.25">
      <c r="A16" s="10">
        <v>46031</v>
      </c>
      <c r="B16" s="11" t="s">
        <v>17</v>
      </c>
      <c r="C16" s="12"/>
      <c r="D16" s="13">
        <f t="shared" si="0"/>
        <v>0</v>
      </c>
      <c r="G16" s="2" t="s">
        <v>26</v>
      </c>
      <c r="H16" s="3">
        <f>SUMPRODUCT((MONTH($A$8:$A$383)=5)*(ISNUMBER($A$8:$A$383))*$C$8:$C$383)</f>
        <v>0</v>
      </c>
      <c r="I16" s="3">
        <f>SUMPRODUCT((MONTH($A$8:$A$383)=5)*(ISNUMBER($A$8:$A$383))*($C$8:$C$383&gt;0))</f>
        <v>0</v>
      </c>
      <c r="J16" s="3">
        <f>H16*$B$4</f>
        <v>0</v>
      </c>
      <c r="K16" s="2"/>
      <c r="L16" s="3">
        <f>J16+K16</f>
        <v>0</v>
      </c>
    </row>
    <row r="17" spans="1:12" x14ac:dyDescent="0.25">
      <c r="A17" s="10">
        <v>46032</v>
      </c>
      <c r="B17" s="11" t="s">
        <v>18</v>
      </c>
      <c r="C17" s="12"/>
      <c r="D17" s="13">
        <f t="shared" si="0"/>
        <v>0</v>
      </c>
      <c r="G17" s="4"/>
      <c r="H17" s="4"/>
      <c r="I17" s="4"/>
      <c r="J17" s="4"/>
      <c r="K17" s="4"/>
      <c r="L17" s="4"/>
    </row>
    <row r="18" spans="1:12" x14ac:dyDescent="0.25">
      <c r="A18" s="10">
        <v>46033</v>
      </c>
      <c r="B18" s="11" t="s">
        <v>20</v>
      </c>
      <c r="C18" s="12"/>
      <c r="D18" s="13">
        <f t="shared" si="0"/>
        <v>0</v>
      </c>
      <c r="G18" s="5" t="s">
        <v>27</v>
      </c>
      <c r="H18" s="6">
        <f>SUMPRODUCT((MONTH($A$8:$A$383)=6)*(ISNUMBER($A$8:$A$383))*$C$8:$C$383)</f>
        <v>0</v>
      </c>
      <c r="I18" s="6">
        <f>SUMPRODUCT((MONTH($A$8:$A$383)=6)*(ISNUMBER($A$8:$A$383))*($C$8:$C$383&gt;0))</f>
        <v>0</v>
      </c>
      <c r="J18" s="6">
        <f>H18*$B$4</f>
        <v>0</v>
      </c>
      <c r="K18" s="5"/>
      <c r="L18" s="6">
        <f>J18+K18</f>
        <v>0</v>
      </c>
    </row>
    <row r="19" spans="1:12" x14ac:dyDescent="0.25">
      <c r="A19" s="10">
        <v>46034</v>
      </c>
      <c r="B19" s="11" t="s">
        <v>21</v>
      </c>
      <c r="C19" s="12"/>
      <c r="D19" s="13">
        <f t="shared" si="0"/>
        <v>0</v>
      </c>
      <c r="G19" s="4"/>
      <c r="H19" s="4"/>
      <c r="I19" s="4"/>
      <c r="J19" s="4"/>
      <c r="K19" s="4"/>
      <c r="L19" s="4"/>
    </row>
    <row r="20" spans="1:12" x14ac:dyDescent="0.25">
      <c r="A20" s="10">
        <v>46035</v>
      </c>
      <c r="B20" s="11" t="s">
        <v>23</v>
      </c>
      <c r="C20" s="12"/>
      <c r="D20" s="13">
        <f t="shared" si="0"/>
        <v>0</v>
      </c>
      <c r="G20" s="2" t="s">
        <v>28</v>
      </c>
      <c r="H20" s="3">
        <f>SUMPRODUCT((MONTH($A$8:$A$383)=7)*(ISNUMBER($A$8:$A$383))*$C$8:$C$383)</f>
        <v>0</v>
      </c>
      <c r="I20" s="3">
        <f>SUMPRODUCT((MONTH($A$8:$A$383)=7)*(ISNUMBER($A$8:$A$383))*($C$8:$C$383&gt;0))</f>
        <v>0</v>
      </c>
      <c r="J20" s="3">
        <f>H20*$B$4</f>
        <v>0</v>
      </c>
      <c r="K20" s="2"/>
      <c r="L20" s="3">
        <f>J20+K20</f>
        <v>0</v>
      </c>
    </row>
    <row r="21" spans="1:12" x14ac:dyDescent="0.25">
      <c r="A21" s="10">
        <v>46036</v>
      </c>
      <c r="B21" s="11" t="s">
        <v>24</v>
      </c>
      <c r="C21" s="12"/>
      <c r="D21" s="13">
        <f t="shared" si="0"/>
        <v>0</v>
      </c>
      <c r="G21" s="4"/>
      <c r="H21" s="4"/>
      <c r="I21" s="4"/>
      <c r="J21" s="4"/>
      <c r="K21" s="4"/>
      <c r="L21" s="4"/>
    </row>
    <row r="22" spans="1:12" x14ac:dyDescent="0.25">
      <c r="A22" s="10">
        <v>46037</v>
      </c>
      <c r="B22" s="11" t="s">
        <v>15</v>
      </c>
      <c r="C22" s="12"/>
      <c r="D22" s="13">
        <f t="shared" si="0"/>
        <v>0</v>
      </c>
      <c r="G22" s="5" t="s">
        <v>29</v>
      </c>
      <c r="H22" s="6">
        <f>SUMPRODUCT((MONTH($A$8:$A$383)=8)*(ISNUMBER($A$8:$A$383))*$C$8:$C$383)</f>
        <v>0</v>
      </c>
      <c r="I22" s="6">
        <f>SUMPRODUCT((MONTH($A$8:$A$383)=8)*(ISNUMBER($A$8:$A$383))*($C$8:$C$383&gt;0))</f>
        <v>0</v>
      </c>
      <c r="J22" s="6">
        <f>H22*$B$4</f>
        <v>0</v>
      </c>
      <c r="K22" s="5"/>
      <c r="L22" s="6">
        <f>J22+K22</f>
        <v>0</v>
      </c>
    </row>
    <row r="23" spans="1:12" x14ac:dyDescent="0.25">
      <c r="A23" s="10">
        <v>46038</v>
      </c>
      <c r="B23" s="11" t="s">
        <v>17</v>
      </c>
      <c r="C23" s="12"/>
      <c r="D23" s="13">
        <f t="shared" si="0"/>
        <v>0</v>
      </c>
      <c r="G23" s="4"/>
      <c r="H23" s="4"/>
      <c r="I23" s="4"/>
      <c r="J23" s="4"/>
      <c r="K23" s="4"/>
      <c r="L23" s="4"/>
    </row>
    <row r="24" spans="1:12" x14ac:dyDescent="0.25">
      <c r="A24" s="10">
        <v>46039</v>
      </c>
      <c r="B24" s="11" t="s">
        <v>18</v>
      </c>
      <c r="C24" s="12"/>
      <c r="D24" s="13">
        <f t="shared" si="0"/>
        <v>0</v>
      </c>
      <c r="G24" s="2" t="s">
        <v>30</v>
      </c>
      <c r="H24" s="3">
        <f>SUMPRODUCT((MONTH($A$8:$A$383)=9)*(ISNUMBER($A$8:$A$383))*$C$8:$C$383)</f>
        <v>0</v>
      </c>
      <c r="I24" s="3">
        <f>SUMPRODUCT((MONTH($A$8:$A$383)=9)*(ISNUMBER($A$8:$A$383))*($C$8:$C$383&gt;0))</f>
        <v>0</v>
      </c>
      <c r="J24" s="3">
        <f>H24*$B$4</f>
        <v>0</v>
      </c>
      <c r="K24" s="2"/>
      <c r="L24" s="3">
        <f>J24+K24</f>
        <v>0</v>
      </c>
    </row>
    <row r="25" spans="1:12" x14ac:dyDescent="0.25">
      <c r="A25" s="10">
        <v>46040</v>
      </c>
      <c r="B25" s="11" t="s">
        <v>20</v>
      </c>
      <c r="C25" s="12"/>
      <c r="D25" s="13">
        <f t="shared" si="0"/>
        <v>0</v>
      </c>
      <c r="G25" s="4"/>
      <c r="H25" s="4"/>
      <c r="I25" s="4"/>
      <c r="J25" s="4"/>
      <c r="K25" s="4"/>
      <c r="L25" s="4"/>
    </row>
    <row r="26" spans="1:12" x14ac:dyDescent="0.25">
      <c r="A26" s="10">
        <v>46041</v>
      </c>
      <c r="B26" s="11" t="s">
        <v>21</v>
      </c>
      <c r="C26" s="12"/>
      <c r="D26" s="13">
        <f t="shared" si="0"/>
        <v>0</v>
      </c>
      <c r="G26" s="5" t="s">
        <v>31</v>
      </c>
      <c r="H26" s="6">
        <f>SUMPRODUCT((MONTH($A$8:$A$383)=10)*(ISNUMBER($A$8:$A$383))*$C$8:$C$383)</f>
        <v>0</v>
      </c>
      <c r="I26" s="6">
        <f>SUMPRODUCT((MONTH($A$8:$A$383)=10)*(ISNUMBER($A$8:$A$383))*($C$8:$C$383&gt;0))</f>
        <v>0</v>
      </c>
      <c r="J26" s="6">
        <f>H26*$B$4</f>
        <v>0</v>
      </c>
      <c r="K26" s="5"/>
      <c r="L26" s="6">
        <f>J26+K26</f>
        <v>0</v>
      </c>
    </row>
    <row r="27" spans="1:12" x14ac:dyDescent="0.25">
      <c r="A27" s="10">
        <v>46042</v>
      </c>
      <c r="B27" s="11" t="s">
        <v>23</v>
      </c>
      <c r="C27" s="12"/>
      <c r="D27" s="13">
        <f t="shared" si="0"/>
        <v>0</v>
      </c>
      <c r="G27" s="4"/>
      <c r="H27" s="4"/>
      <c r="I27" s="4"/>
      <c r="J27" s="4"/>
      <c r="K27" s="4"/>
      <c r="L27" s="4"/>
    </row>
    <row r="28" spans="1:12" x14ac:dyDescent="0.25">
      <c r="A28" s="10">
        <v>46043</v>
      </c>
      <c r="B28" s="11" t="s">
        <v>24</v>
      </c>
      <c r="C28" s="12"/>
      <c r="D28" s="13">
        <f t="shared" si="0"/>
        <v>0</v>
      </c>
      <c r="G28" s="2" t="s">
        <v>32</v>
      </c>
      <c r="H28" s="3">
        <f>SUMPRODUCT((MONTH($A$8:$A$383)=11)*(ISNUMBER($A$8:$A$383))*$C$8:$C$383)</f>
        <v>0</v>
      </c>
      <c r="I28" s="3">
        <f>SUMPRODUCT((MONTH($A$8:$A$383)=11)*(ISNUMBER($A$8:$A$383))*($C$8:$C$383&gt;0))</f>
        <v>0</v>
      </c>
      <c r="J28" s="3">
        <f>H28*$B$4</f>
        <v>0</v>
      </c>
      <c r="K28" s="2"/>
      <c r="L28" s="3">
        <f>J28+K28</f>
        <v>0</v>
      </c>
    </row>
    <row r="29" spans="1:12" x14ac:dyDescent="0.25">
      <c r="A29" s="10">
        <v>46044</v>
      </c>
      <c r="B29" s="11" t="s">
        <v>15</v>
      </c>
      <c r="C29" s="12"/>
      <c r="D29" s="13">
        <f t="shared" si="0"/>
        <v>0</v>
      </c>
      <c r="G29" s="4"/>
      <c r="H29" s="4"/>
      <c r="I29" s="4"/>
      <c r="J29" s="4"/>
      <c r="K29" s="4"/>
      <c r="L29" s="4"/>
    </row>
    <row r="30" spans="1:12" x14ac:dyDescent="0.25">
      <c r="A30" s="10">
        <v>46045</v>
      </c>
      <c r="B30" s="11" t="s">
        <v>17</v>
      </c>
      <c r="C30" s="12"/>
      <c r="D30" s="13">
        <f t="shared" si="0"/>
        <v>0</v>
      </c>
      <c r="G30" s="5" t="s">
        <v>33</v>
      </c>
      <c r="H30" s="6">
        <f>SUMPRODUCT((MONTH($A$8:$A$383)=12)*(ISNUMBER($A$8:$A$383))*$C$8:$C$383)</f>
        <v>0</v>
      </c>
      <c r="I30" s="6">
        <f>SUMPRODUCT((MONTH($A$8:$A$383)=12)*(ISNUMBER($A$8:$A$383))*($C$8:$C$383&gt;0))</f>
        <v>0</v>
      </c>
      <c r="J30" s="6">
        <f>H30*$B$4</f>
        <v>0</v>
      </c>
      <c r="K30" s="5"/>
      <c r="L30" s="6">
        <f>J30+K30</f>
        <v>0</v>
      </c>
    </row>
    <row r="31" spans="1:12" x14ac:dyDescent="0.25">
      <c r="A31" s="10">
        <v>46046</v>
      </c>
      <c r="B31" s="11" t="s">
        <v>18</v>
      </c>
      <c r="C31" s="12"/>
      <c r="D31" s="13">
        <f t="shared" si="0"/>
        <v>0</v>
      </c>
      <c r="G31" s="4"/>
      <c r="H31" s="4"/>
      <c r="I31" s="4"/>
      <c r="J31" s="4"/>
      <c r="K31" s="4"/>
      <c r="L31" s="4"/>
    </row>
    <row r="32" spans="1:12" x14ac:dyDescent="0.25">
      <c r="A32" s="10">
        <v>46047</v>
      </c>
      <c r="B32" s="11" t="s">
        <v>20</v>
      </c>
      <c r="C32" s="12"/>
      <c r="D32" s="13">
        <f t="shared" si="0"/>
        <v>0</v>
      </c>
      <c r="G32" s="7" t="s">
        <v>34</v>
      </c>
      <c r="H32" s="8">
        <f>SUM(H8:H30)</f>
        <v>0</v>
      </c>
      <c r="I32" s="8">
        <f>SUM(I8:I30)</f>
        <v>0</v>
      </c>
      <c r="J32" s="8">
        <f>SUM(J8:J30)</f>
        <v>0</v>
      </c>
      <c r="K32" s="8">
        <f>SUM(K8:K30)</f>
        <v>0</v>
      </c>
      <c r="L32" s="8">
        <f>SUM(L8:L30)</f>
        <v>0</v>
      </c>
    </row>
    <row r="33" spans="1:4" x14ac:dyDescent="0.25">
      <c r="A33" s="10">
        <v>46048</v>
      </c>
      <c r="B33" s="11" t="s">
        <v>21</v>
      </c>
      <c r="C33" s="12"/>
      <c r="D33" s="13">
        <f t="shared" si="0"/>
        <v>0</v>
      </c>
    </row>
    <row r="34" spans="1:4" x14ac:dyDescent="0.25">
      <c r="A34" s="10">
        <v>46049</v>
      </c>
      <c r="B34" s="11" t="s">
        <v>23</v>
      </c>
      <c r="C34" s="12"/>
      <c r="D34" s="13">
        <f t="shared" si="0"/>
        <v>0</v>
      </c>
    </row>
    <row r="35" spans="1:4" x14ac:dyDescent="0.25">
      <c r="A35" s="10">
        <v>46050</v>
      </c>
      <c r="B35" s="11" t="s">
        <v>24</v>
      </c>
      <c r="C35" s="12"/>
      <c r="D35" s="13">
        <f t="shared" si="0"/>
        <v>0</v>
      </c>
    </row>
    <row r="36" spans="1:4" x14ac:dyDescent="0.25">
      <c r="A36" s="10">
        <v>46051</v>
      </c>
      <c r="B36" s="11" t="s">
        <v>15</v>
      </c>
      <c r="C36" s="12"/>
      <c r="D36" s="13">
        <f t="shared" si="0"/>
        <v>0</v>
      </c>
    </row>
    <row r="37" spans="1:4" x14ac:dyDescent="0.25">
      <c r="A37" s="10">
        <v>46052</v>
      </c>
      <c r="B37" s="11" t="s">
        <v>17</v>
      </c>
      <c r="C37" s="12"/>
      <c r="D37" s="13">
        <f t="shared" si="0"/>
        <v>0</v>
      </c>
    </row>
    <row r="38" spans="1:4" x14ac:dyDescent="0.25">
      <c r="A38" s="10">
        <v>46053</v>
      </c>
      <c r="B38" s="11" t="s">
        <v>18</v>
      </c>
      <c r="C38" s="12"/>
      <c r="D38" s="13">
        <f t="shared" si="0"/>
        <v>0</v>
      </c>
    </row>
    <row r="39" spans="1:4" x14ac:dyDescent="0.25">
      <c r="A39" s="4"/>
      <c r="B39" s="4"/>
      <c r="C39" s="4"/>
      <c r="D39" s="4"/>
    </row>
    <row r="40" spans="1:4" x14ac:dyDescent="0.25">
      <c r="A40" s="14">
        <v>46054</v>
      </c>
      <c r="B40" s="15" t="s">
        <v>20</v>
      </c>
      <c r="C40" s="16"/>
      <c r="D40" s="17">
        <f t="shared" ref="D40:D67" si="1">IF(C40&gt;0, C40*$B$4, 0)</f>
        <v>0</v>
      </c>
    </row>
    <row r="41" spans="1:4" x14ac:dyDescent="0.25">
      <c r="A41" s="14">
        <v>46055</v>
      </c>
      <c r="B41" s="15" t="s">
        <v>21</v>
      </c>
      <c r="C41" s="16"/>
      <c r="D41" s="17">
        <f t="shared" si="1"/>
        <v>0</v>
      </c>
    </row>
    <row r="42" spans="1:4" x14ac:dyDescent="0.25">
      <c r="A42" s="14">
        <v>46056</v>
      </c>
      <c r="B42" s="15" t="s">
        <v>23</v>
      </c>
      <c r="C42" s="16"/>
      <c r="D42" s="17">
        <f t="shared" si="1"/>
        <v>0</v>
      </c>
    </row>
    <row r="43" spans="1:4" x14ac:dyDescent="0.25">
      <c r="A43" s="14">
        <v>46057</v>
      </c>
      <c r="B43" s="15" t="s">
        <v>24</v>
      </c>
      <c r="C43" s="16"/>
      <c r="D43" s="17">
        <f t="shared" si="1"/>
        <v>0</v>
      </c>
    </row>
    <row r="44" spans="1:4" x14ac:dyDescent="0.25">
      <c r="A44" s="14">
        <v>46058</v>
      </c>
      <c r="B44" s="15" t="s">
        <v>15</v>
      </c>
      <c r="C44" s="16"/>
      <c r="D44" s="17">
        <f t="shared" si="1"/>
        <v>0</v>
      </c>
    </row>
    <row r="45" spans="1:4" x14ac:dyDescent="0.25">
      <c r="A45" s="14">
        <v>46059</v>
      </c>
      <c r="B45" s="15" t="s">
        <v>17</v>
      </c>
      <c r="C45" s="16"/>
      <c r="D45" s="17">
        <f t="shared" si="1"/>
        <v>0</v>
      </c>
    </row>
    <row r="46" spans="1:4" x14ac:dyDescent="0.25">
      <c r="A46" s="14">
        <v>46060</v>
      </c>
      <c r="B46" s="15" t="s">
        <v>18</v>
      </c>
      <c r="C46" s="16"/>
      <c r="D46" s="17">
        <f t="shared" si="1"/>
        <v>0</v>
      </c>
    </row>
    <row r="47" spans="1:4" x14ac:dyDescent="0.25">
      <c r="A47" s="14">
        <v>46061</v>
      </c>
      <c r="B47" s="15" t="s">
        <v>20</v>
      </c>
      <c r="C47" s="16"/>
      <c r="D47" s="17">
        <f t="shared" si="1"/>
        <v>0</v>
      </c>
    </row>
    <row r="48" spans="1:4" x14ac:dyDescent="0.25">
      <c r="A48" s="14">
        <v>46062</v>
      </c>
      <c r="B48" s="15" t="s">
        <v>21</v>
      </c>
      <c r="C48" s="16"/>
      <c r="D48" s="17">
        <f t="shared" si="1"/>
        <v>0</v>
      </c>
    </row>
    <row r="49" spans="1:4" x14ac:dyDescent="0.25">
      <c r="A49" s="14">
        <v>46063</v>
      </c>
      <c r="B49" s="15" t="s">
        <v>23</v>
      </c>
      <c r="C49" s="16"/>
      <c r="D49" s="17">
        <f t="shared" si="1"/>
        <v>0</v>
      </c>
    </row>
    <row r="50" spans="1:4" x14ac:dyDescent="0.25">
      <c r="A50" s="14">
        <v>46064</v>
      </c>
      <c r="B50" s="15" t="s">
        <v>24</v>
      </c>
      <c r="C50" s="16"/>
      <c r="D50" s="17">
        <f t="shared" si="1"/>
        <v>0</v>
      </c>
    </row>
    <row r="51" spans="1:4" x14ac:dyDescent="0.25">
      <c r="A51" s="14">
        <v>46065</v>
      </c>
      <c r="B51" s="15" t="s">
        <v>15</v>
      </c>
      <c r="C51" s="16"/>
      <c r="D51" s="17">
        <f t="shared" si="1"/>
        <v>0</v>
      </c>
    </row>
    <row r="52" spans="1:4" x14ac:dyDescent="0.25">
      <c r="A52" s="14">
        <v>46066</v>
      </c>
      <c r="B52" s="15" t="s">
        <v>17</v>
      </c>
      <c r="C52" s="16"/>
      <c r="D52" s="17">
        <f t="shared" si="1"/>
        <v>0</v>
      </c>
    </row>
    <row r="53" spans="1:4" x14ac:dyDescent="0.25">
      <c r="A53" s="14">
        <v>46067</v>
      </c>
      <c r="B53" s="15" t="s">
        <v>18</v>
      </c>
      <c r="C53" s="16"/>
      <c r="D53" s="17">
        <f t="shared" si="1"/>
        <v>0</v>
      </c>
    </row>
    <row r="54" spans="1:4" x14ac:dyDescent="0.25">
      <c r="A54" s="14">
        <v>46068</v>
      </c>
      <c r="B54" s="15" t="s">
        <v>20</v>
      </c>
      <c r="C54" s="16"/>
      <c r="D54" s="17">
        <f t="shared" si="1"/>
        <v>0</v>
      </c>
    </row>
    <row r="55" spans="1:4" x14ac:dyDescent="0.25">
      <c r="A55" s="14">
        <v>46069</v>
      </c>
      <c r="B55" s="15" t="s">
        <v>21</v>
      </c>
      <c r="C55" s="16"/>
      <c r="D55" s="17">
        <f t="shared" si="1"/>
        <v>0</v>
      </c>
    </row>
    <row r="56" spans="1:4" x14ac:dyDescent="0.25">
      <c r="A56" s="14">
        <v>46070</v>
      </c>
      <c r="B56" s="15" t="s">
        <v>23</v>
      </c>
      <c r="C56" s="16"/>
      <c r="D56" s="17">
        <f t="shared" si="1"/>
        <v>0</v>
      </c>
    </row>
    <row r="57" spans="1:4" x14ac:dyDescent="0.25">
      <c r="A57" s="14">
        <v>46071</v>
      </c>
      <c r="B57" s="15" t="s">
        <v>24</v>
      </c>
      <c r="C57" s="16"/>
      <c r="D57" s="17">
        <f t="shared" si="1"/>
        <v>0</v>
      </c>
    </row>
    <row r="58" spans="1:4" x14ac:dyDescent="0.25">
      <c r="A58" s="14">
        <v>46072</v>
      </c>
      <c r="B58" s="15" t="s">
        <v>15</v>
      </c>
      <c r="C58" s="16"/>
      <c r="D58" s="17">
        <f t="shared" si="1"/>
        <v>0</v>
      </c>
    </row>
    <row r="59" spans="1:4" x14ac:dyDescent="0.25">
      <c r="A59" s="14">
        <v>46073</v>
      </c>
      <c r="B59" s="15" t="s">
        <v>17</v>
      </c>
      <c r="C59" s="16"/>
      <c r="D59" s="17">
        <f t="shared" si="1"/>
        <v>0</v>
      </c>
    </row>
    <row r="60" spans="1:4" x14ac:dyDescent="0.25">
      <c r="A60" s="14">
        <v>46074</v>
      </c>
      <c r="B60" s="15" t="s">
        <v>18</v>
      </c>
      <c r="C60" s="16"/>
      <c r="D60" s="17">
        <f t="shared" si="1"/>
        <v>0</v>
      </c>
    </row>
    <row r="61" spans="1:4" x14ac:dyDescent="0.25">
      <c r="A61" s="14">
        <v>46075</v>
      </c>
      <c r="B61" s="15" t="s">
        <v>20</v>
      </c>
      <c r="C61" s="16"/>
      <c r="D61" s="17">
        <f t="shared" si="1"/>
        <v>0</v>
      </c>
    </row>
    <row r="62" spans="1:4" x14ac:dyDescent="0.25">
      <c r="A62" s="14">
        <v>46076</v>
      </c>
      <c r="B62" s="15" t="s">
        <v>21</v>
      </c>
      <c r="C62" s="16"/>
      <c r="D62" s="17">
        <f t="shared" si="1"/>
        <v>0</v>
      </c>
    </row>
    <row r="63" spans="1:4" x14ac:dyDescent="0.25">
      <c r="A63" s="14">
        <v>46077</v>
      </c>
      <c r="B63" s="15" t="s">
        <v>23</v>
      </c>
      <c r="C63" s="16"/>
      <c r="D63" s="17">
        <f t="shared" si="1"/>
        <v>0</v>
      </c>
    </row>
    <row r="64" spans="1:4" x14ac:dyDescent="0.25">
      <c r="A64" s="14">
        <v>46078</v>
      </c>
      <c r="B64" s="15" t="s">
        <v>24</v>
      </c>
      <c r="C64" s="16"/>
      <c r="D64" s="17">
        <f t="shared" si="1"/>
        <v>0</v>
      </c>
    </row>
    <row r="65" spans="1:4" x14ac:dyDescent="0.25">
      <c r="A65" s="14">
        <v>46079</v>
      </c>
      <c r="B65" s="15" t="s">
        <v>15</v>
      </c>
      <c r="C65" s="16"/>
      <c r="D65" s="17">
        <f t="shared" si="1"/>
        <v>0</v>
      </c>
    </row>
    <row r="66" spans="1:4" x14ac:dyDescent="0.25">
      <c r="A66" s="14">
        <v>46080</v>
      </c>
      <c r="B66" s="15" t="s">
        <v>17</v>
      </c>
      <c r="C66" s="16"/>
      <c r="D66" s="17">
        <f t="shared" si="1"/>
        <v>0</v>
      </c>
    </row>
    <row r="67" spans="1:4" x14ac:dyDescent="0.25">
      <c r="A67" s="14">
        <v>46081</v>
      </c>
      <c r="B67" s="15" t="s">
        <v>18</v>
      </c>
      <c r="C67" s="16"/>
      <c r="D67" s="17">
        <f t="shared" si="1"/>
        <v>0</v>
      </c>
    </row>
    <row r="68" spans="1:4" x14ac:dyDescent="0.25">
      <c r="A68" s="4"/>
      <c r="B68" s="4"/>
      <c r="C68" s="4"/>
      <c r="D68" s="4"/>
    </row>
    <row r="69" spans="1:4" x14ac:dyDescent="0.25">
      <c r="A69" s="10">
        <v>46082</v>
      </c>
      <c r="B69" s="11" t="s">
        <v>20</v>
      </c>
      <c r="C69" s="12"/>
      <c r="D69" s="13">
        <f t="shared" ref="D69:D99" si="2">IF(C69&gt;0, C69*$B$4, 0)</f>
        <v>0</v>
      </c>
    </row>
    <row r="70" spans="1:4" x14ac:dyDescent="0.25">
      <c r="A70" s="10">
        <v>46083</v>
      </c>
      <c r="B70" s="11" t="s">
        <v>21</v>
      </c>
      <c r="C70" s="12"/>
      <c r="D70" s="13">
        <f t="shared" si="2"/>
        <v>0</v>
      </c>
    </row>
    <row r="71" spans="1:4" x14ac:dyDescent="0.25">
      <c r="A71" s="10">
        <v>46084</v>
      </c>
      <c r="B71" s="11" t="s">
        <v>23</v>
      </c>
      <c r="C71" s="12"/>
      <c r="D71" s="13">
        <f t="shared" si="2"/>
        <v>0</v>
      </c>
    </row>
    <row r="72" spans="1:4" x14ac:dyDescent="0.25">
      <c r="A72" s="10">
        <v>46085</v>
      </c>
      <c r="B72" s="11" t="s">
        <v>24</v>
      </c>
      <c r="C72" s="12"/>
      <c r="D72" s="13">
        <f t="shared" si="2"/>
        <v>0</v>
      </c>
    </row>
    <row r="73" spans="1:4" x14ac:dyDescent="0.25">
      <c r="A73" s="10">
        <v>46086</v>
      </c>
      <c r="B73" s="11" t="s">
        <v>15</v>
      </c>
      <c r="C73" s="12"/>
      <c r="D73" s="13">
        <f t="shared" si="2"/>
        <v>0</v>
      </c>
    </row>
    <row r="74" spans="1:4" x14ac:dyDescent="0.25">
      <c r="A74" s="10">
        <v>46087</v>
      </c>
      <c r="B74" s="11" t="s">
        <v>17</v>
      </c>
      <c r="C74" s="12"/>
      <c r="D74" s="13">
        <f t="shared" si="2"/>
        <v>0</v>
      </c>
    </row>
    <row r="75" spans="1:4" x14ac:dyDescent="0.25">
      <c r="A75" s="10">
        <v>46088</v>
      </c>
      <c r="B75" s="11" t="s">
        <v>18</v>
      </c>
      <c r="C75" s="12"/>
      <c r="D75" s="13">
        <f t="shared" si="2"/>
        <v>0</v>
      </c>
    </row>
    <row r="76" spans="1:4" x14ac:dyDescent="0.25">
      <c r="A76" s="10">
        <v>46089</v>
      </c>
      <c r="B76" s="11" t="s">
        <v>20</v>
      </c>
      <c r="C76" s="12"/>
      <c r="D76" s="13">
        <f t="shared" si="2"/>
        <v>0</v>
      </c>
    </row>
    <row r="77" spans="1:4" x14ac:dyDescent="0.25">
      <c r="A77" s="10">
        <v>46090</v>
      </c>
      <c r="B77" s="11" t="s">
        <v>21</v>
      </c>
      <c r="C77" s="12"/>
      <c r="D77" s="13">
        <f t="shared" si="2"/>
        <v>0</v>
      </c>
    </row>
    <row r="78" spans="1:4" x14ac:dyDescent="0.25">
      <c r="A78" s="10">
        <v>46091</v>
      </c>
      <c r="B78" s="11" t="s">
        <v>23</v>
      </c>
      <c r="C78" s="12"/>
      <c r="D78" s="13">
        <f t="shared" si="2"/>
        <v>0</v>
      </c>
    </row>
    <row r="79" spans="1:4" x14ac:dyDescent="0.25">
      <c r="A79" s="10">
        <v>46092</v>
      </c>
      <c r="B79" s="11" t="s">
        <v>24</v>
      </c>
      <c r="C79" s="12"/>
      <c r="D79" s="13">
        <f t="shared" si="2"/>
        <v>0</v>
      </c>
    </row>
    <row r="80" spans="1:4" x14ac:dyDescent="0.25">
      <c r="A80" s="10">
        <v>46093</v>
      </c>
      <c r="B80" s="11" t="s">
        <v>15</v>
      </c>
      <c r="C80" s="12"/>
      <c r="D80" s="13">
        <f t="shared" si="2"/>
        <v>0</v>
      </c>
    </row>
    <row r="81" spans="1:4" x14ac:dyDescent="0.25">
      <c r="A81" s="10">
        <v>46094</v>
      </c>
      <c r="B81" s="11" t="s">
        <v>17</v>
      </c>
      <c r="C81" s="12"/>
      <c r="D81" s="13">
        <f t="shared" si="2"/>
        <v>0</v>
      </c>
    </row>
    <row r="82" spans="1:4" x14ac:dyDescent="0.25">
      <c r="A82" s="10">
        <v>46095</v>
      </c>
      <c r="B82" s="11" t="s">
        <v>18</v>
      </c>
      <c r="C82" s="12"/>
      <c r="D82" s="13">
        <f t="shared" si="2"/>
        <v>0</v>
      </c>
    </row>
    <row r="83" spans="1:4" x14ac:dyDescent="0.25">
      <c r="A83" s="10">
        <v>46096</v>
      </c>
      <c r="B83" s="11" t="s">
        <v>20</v>
      </c>
      <c r="C83" s="12"/>
      <c r="D83" s="13">
        <f t="shared" si="2"/>
        <v>0</v>
      </c>
    </row>
    <row r="84" spans="1:4" x14ac:dyDescent="0.25">
      <c r="A84" s="10">
        <v>46097</v>
      </c>
      <c r="B84" s="11" t="s">
        <v>21</v>
      </c>
      <c r="C84" s="12"/>
      <c r="D84" s="13">
        <f t="shared" si="2"/>
        <v>0</v>
      </c>
    </row>
    <row r="85" spans="1:4" x14ac:dyDescent="0.25">
      <c r="A85" s="10">
        <v>46098</v>
      </c>
      <c r="B85" s="11" t="s">
        <v>23</v>
      </c>
      <c r="C85" s="12"/>
      <c r="D85" s="13">
        <f t="shared" si="2"/>
        <v>0</v>
      </c>
    </row>
    <row r="86" spans="1:4" x14ac:dyDescent="0.25">
      <c r="A86" s="10">
        <v>46099</v>
      </c>
      <c r="B86" s="11" t="s">
        <v>24</v>
      </c>
      <c r="C86" s="12"/>
      <c r="D86" s="13">
        <f t="shared" si="2"/>
        <v>0</v>
      </c>
    </row>
    <row r="87" spans="1:4" x14ac:dyDescent="0.25">
      <c r="A87" s="10">
        <v>46100</v>
      </c>
      <c r="B87" s="11" t="s">
        <v>15</v>
      </c>
      <c r="C87" s="12"/>
      <c r="D87" s="13">
        <f t="shared" si="2"/>
        <v>0</v>
      </c>
    </row>
    <row r="88" spans="1:4" x14ac:dyDescent="0.25">
      <c r="A88" s="10">
        <v>46101</v>
      </c>
      <c r="B88" s="11" t="s">
        <v>17</v>
      </c>
      <c r="C88" s="12"/>
      <c r="D88" s="13">
        <f t="shared" si="2"/>
        <v>0</v>
      </c>
    </row>
    <row r="89" spans="1:4" x14ac:dyDescent="0.25">
      <c r="A89" s="10">
        <v>46102</v>
      </c>
      <c r="B89" s="11" t="s">
        <v>18</v>
      </c>
      <c r="C89" s="12"/>
      <c r="D89" s="13">
        <f t="shared" si="2"/>
        <v>0</v>
      </c>
    </row>
    <row r="90" spans="1:4" x14ac:dyDescent="0.25">
      <c r="A90" s="10">
        <v>46103</v>
      </c>
      <c r="B90" s="11" t="s">
        <v>20</v>
      </c>
      <c r="C90" s="12"/>
      <c r="D90" s="13">
        <f t="shared" si="2"/>
        <v>0</v>
      </c>
    </row>
    <row r="91" spans="1:4" x14ac:dyDescent="0.25">
      <c r="A91" s="10">
        <v>46104</v>
      </c>
      <c r="B91" s="11" t="s">
        <v>21</v>
      </c>
      <c r="C91" s="12"/>
      <c r="D91" s="13">
        <f t="shared" si="2"/>
        <v>0</v>
      </c>
    </row>
    <row r="92" spans="1:4" x14ac:dyDescent="0.25">
      <c r="A92" s="10">
        <v>46105</v>
      </c>
      <c r="B92" s="11" t="s">
        <v>23</v>
      </c>
      <c r="C92" s="12"/>
      <c r="D92" s="13">
        <f t="shared" si="2"/>
        <v>0</v>
      </c>
    </row>
    <row r="93" spans="1:4" x14ac:dyDescent="0.25">
      <c r="A93" s="10">
        <v>46106</v>
      </c>
      <c r="B93" s="11" t="s">
        <v>24</v>
      </c>
      <c r="C93" s="12"/>
      <c r="D93" s="13">
        <f t="shared" si="2"/>
        <v>0</v>
      </c>
    </row>
    <row r="94" spans="1:4" x14ac:dyDescent="0.25">
      <c r="A94" s="10">
        <v>46107</v>
      </c>
      <c r="B94" s="11" t="s">
        <v>15</v>
      </c>
      <c r="C94" s="12"/>
      <c r="D94" s="13">
        <f t="shared" si="2"/>
        <v>0</v>
      </c>
    </row>
    <row r="95" spans="1:4" x14ac:dyDescent="0.25">
      <c r="A95" s="10">
        <v>46108</v>
      </c>
      <c r="B95" s="11" t="s">
        <v>17</v>
      </c>
      <c r="C95" s="12"/>
      <c r="D95" s="13">
        <f t="shared" si="2"/>
        <v>0</v>
      </c>
    </row>
    <row r="96" spans="1:4" x14ac:dyDescent="0.25">
      <c r="A96" s="10">
        <v>46109</v>
      </c>
      <c r="B96" s="11" t="s">
        <v>18</v>
      </c>
      <c r="C96" s="12"/>
      <c r="D96" s="13">
        <f t="shared" si="2"/>
        <v>0</v>
      </c>
    </row>
    <row r="97" spans="1:4" x14ac:dyDescent="0.25">
      <c r="A97" s="10">
        <v>46110</v>
      </c>
      <c r="B97" s="11" t="s">
        <v>20</v>
      </c>
      <c r="C97" s="12"/>
      <c r="D97" s="13">
        <f t="shared" si="2"/>
        <v>0</v>
      </c>
    </row>
    <row r="98" spans="1:4" x14ac:dyDescent="0.25">
      <c r="A98" s="10">
        <v>46111</v>
      </c>
      <c r="B98" s="11" t="s">
        <v>21</v>
      </c>
      <c r="C98" s="12"/>
      <c r="D98" s="13">
        <f t="shared" si="2"/>
        <v>0</v>
      </c>
    </row>
    <row r="99" spans="1:4" x14ac:dyDescent="0.25">
      <c r="A99" s="10">
        <v>46112</v>
      </c>
      <c r="B99" s="11" t="s">
        <v>23</v>
      </c>
      <c r="C99" s="12"/>
      <c r="D99" s="13">
        <f t="shared" si="2"/>
        <v>0</v>
      </c>
    </row>
    <row r="100" spans="1:4" x14ac:dyDescent="0.25">
      <c r="A100" s="4"/>
      <c r="B100" s="4"/>
      <c r="C100" s="4"/>
      <c r="D100" s="4"/>
    </row>
    <row r="101" spans="1:4" x14ac:dyDescent="0.25">
      <c r="A101" s="14">
        <v>46113</v>
      </c>
      <c r="B101" s="15" t="s">
        <v>24</v>
      </c>
      <c r="C101" s="16"/>
      <c r="D101" s="17">
        <f t="shared" ref="D101:D130" si="3">IF(C101&gt;0, C101*$B$4, 0)</f>
        <v>0</v>
      </c>
    </row>
    <row r="102" spans="1:4" x14ac:dyDescent="0.25">
      <c r="A102" s="14">
        <v>46114</v>
      </c>
      <c r="B102" s="15" t="s">
        <v>15</v>
      </c>
      <c r="C102" s="16"/>
      <c r="D102" s="17">
        <f t="shared" si="3"/>
        <v>0</v>
      </c>
    </row>
    <row r="103" spans="1:4" x14ac:dyDescent="0.25">
      <c r="A103" s="14">
        <v>46115</v>
      </c>
      <c r="B103" s="15" t="s">
        <v>17</v>
      </c>
      <c r="C103" s="16"/>
      <c r="D103" s="17">
        <f t="shared" si="3"/>
        <v>0</v>
      </c>
    </row>
    <row r="104" spans="1:4" x14ac:dyDescent="0.25">
      <c r="A104" s="14">
        <v>46116</v>
      </c>
      <c r="B104" s="15" t="s">
        <v>18</v>
      </c>
      <c r="C104" s="16"/>
      <c r="D104" s="17">
        <f t="shared" si="3"/>
        <v>0</v>
      </c>
    </row>
    <row r="105" spans="1:4" x14ac:dyDescent="0.25">
      <c r="A105" s="14">
        <v>46117</v>
      </c>
      <c r="B105" s="15" t="s">
        <v>20</v>
      </c>
      <c r="C105" s="16"/>
      <c r="D105" s="17">
        <f t="shared" si="3"/>
        <v>0</v>
      </c>
    </row>
    <row r="106" spans="1:4" x14ac:dyDescent="0.25">
      <c r="A106" s="14">
        <v>46118</v>
      </c>
      <c r="B106" s="15" t="s">
        <v>21</v>
      </c>
      <c r="C106" s="16"/>
      <c r="D106" s="17">
        <f t="shared" si="3"/>
        <v>0</v>
      </c>
    </row>
    <row r="107" spans="1:4" x14ac:dyDescent="0.25">
      <c r="A107" s="14">
        <v>46119</v>
      </c>
      <c r="B107" s="15" t="s">
        <v>23</v>
      </c>
      <c r="C107" s="16"/>
      <c r="D107" s="17">
        <f t="shared" si="3"/>
        <v>0</v>
      </c>
    </row>
    <row r="108" spans="1:4" x14ac:dyDescent="0.25">
      <c r="A108" s="14">
        <v>46120</v>
      </c>
      <c r="B108" s="15" t="s">
        <v>24</v>
      </c>
      <c r="C108" s="16"/>
      <c r="D108" s="17">
        <f t="shared" si="3"/>
        <v>0</v>
      </c>
    </row>
    <row r="109" spans="1:4" x14ac:dyDescent="0.25">
      <c r="A109" s="14">
        <v>46121</v>
      </c>
      <c r="B109" s="15" t="s">
        <v>15</v>
      </c>
      <c r="C109" s="16"/>
      <c r="D109" s="17">
        <f t="shared" si="3"/>
        <v>0</v>
      </c>
    </row>
    <row r="110" spans="1:4" x14ac:dyDescent="0.25">
      <c r="A110" s="14">
        <v>46122</v>
      </c>
      <c r="B110" s="15" t="s">
        <v>17</v>
      </c>
      <c r="C110" s="16"/>
      <c r="D110" s="17">
        <f t="shared" si="3"/>
        <v>0</v>
      </c>
    </row>
    <row r="111" spans="1:4" x14ac:dyDescent="0.25">
      <c r="A111" s="14">
        <v>46123</v>
      </c>
      <c r="B111" s="15" t="s">
        <v>18</v>
      </c>
      <c r="C111" s="16"/>
      <c r="D111" s="17">
        <f t="shared" si="3"/>
        <v>0</v>
      </c>
    </row>
    <row r="112" spans="1:4" x14ac:dyDescent="0.25">
      <c r="A112" s="14">
        <v>46124</v>
      </c>
      <c r="B112" s="15" t="s">
        <v>20</v>
      </c>
      <c r="C112" s="16"/>
      <c r="D112" s="17">
        <f t="shared" si="3"/>
        <v>0</v>
      </c>
    </row>
    <row r="113" spans="1:4" x14ac:dyDescent="0.25">
      <c r="A113" s="14">
        <v>46125</v>
      </c>
      <c r="B113" s="15" t="s">
        <v>21</v>
      </c>
      <c r="C113" s="16"/>
      <c r="D113" s="17">
        <f t="shared" si="3"/>
        <v>0</v>
      </c>
    </row>
    <row r="114" spans="1:4" x14ac:dyDescent="0.25">
      <c r="A114" s="14">
        <v>46126</v>
      </c>
      <c r="B114" s="15" t="s">
        <v>23</v>
      </c>
      <c r="C114" s="16"/>
      <c r="D114" s="17">
        <f t="shared" si="3"/>
        <v>0</v>
      </c>
    </row>
    <row r="115" spans="1:4" x14ac:dyDescent="0.25">
      <c r="A115" s="14">
        <v>46127</v>
      </c>
      <c r="B115" s="15" t="s">
        <v>24</v>
      </c>
      <c r="C115" s="16"/>
      <c r="D115" s="17">
        <f t="shared" si="3"/>
        <v>0</v>
      </c>
    </row>
    <row r="116" spans="1:4" x14ac:dyDescent="0.25">
      <c r="A116" s="14">
        <v>46128</v>
      </c>
      <c r="B116" s="15" t="s">
        <v>15</v>
      </c>
      <c r="C116" s="16"/>
      <c r="D116" s="17">
        <f t="shared" si="3"/>
        <v>0</v>
      </c>
    </row>
    <row r="117" spans="1:4" x14ac:dyDescent="0.25">
      <c r="A117" s="14">
        <v>46129</v>
      </c>
      <c r="B117" s="15" t="s">
        <v>17</v>
      </c>
      <c r="C117" s="16"/>
      <c r="D117" s="17">
        <f t="shared" si="3"/>
        <v>0</v>
      </c>
    </row>
    <row r="118" spans="1:4" x14ac:dyDescent="0.25">
      <c r="A118" s="14">
        <v>46130</v>
      </c>
      <c r="B118" s="15" t="s">
        <v>18</v>
      </c>
      <c r="C118" s="16"/>
      <c r="D118" s="17">
        <f t="shared" si="3"/>
        <v>0</v>
      </c>
    </row>
    <row r="119" spans="1:4" x14ac:dyDescent="0.25">
      <c r="A119" s="14">
        <v>46131</v>
      </c>
      <c r="B119" s="15" t="s">
        <v>20</v>
      </c>
      <c r="C119" s="16"/>
      <c r="D119" s="17">
        <f t="shared" si="3"/>
        <v>0</v>
      </c>
    </row>
    <row r="120" spans="1:4" x14ac:dyDescent="0.25">
      <c r="A120" s="14">
        <v>46132</v>
      </c>
      <c r="B120" s="15" t="s">
        <v>21</v>
      </c>
      <c r="C120" s="16"/>
      <c r="D120" s="17">
        <f t="shared" si="3"/>
        <v>0</v>
      </c>
    </row>
    <row r="121" spans="1:4" x14ac:dyDescent="0.25">
      <c r="A121" s="14">
        <v>46133</v>
      </c>
      <c r="B121" s="15" t="s">
        <v>23</v>
      </c>
      <c r="C121" s="16"/>
      <c r="D121" s="17">
        <f t="shared" si="3"/>
        <v>0</v>
      </c>
    </row>
    <row r="122" spans="1:4" x14ac:dyDescent="0.25">
      <c r="A122" s="14">
        <v>46134</v>
      </c>
      <c r="B122" s="15" t="s">
        <v>24</v>
      </c>
      <c r="C122" s="16"/>
      <c r="D122" s="17">
        <f t="shared" si="3"/>
        <v>0</v>
      </c>
    </row>
    <row r="123" spans="1:4" x14ac:dyDescent="0.25">
      <c r="A123" s="14">
        <v>46135</v>
      </c>
      <c r="B123" s="15" t="s">
        <v>15</v>
      </c>
      <c r="C123" s="16"/>
      <c r="D123" s="17">
        <f t="shared" si="3"/>
        <v>0</v>
      </c>
    </row>
    <row r="124" spans="1:4" x14ac:dyDescent="0.25">
      <c r="A124" s="14">
        <v>46136</v>
      </c>
      <c r="B124" s="15" t="s">
        <v>17</v>
      </c>
      <c r="C124" s="16"/>
      <c r="D124" s="17">
        <f t="shared" si="3"/>
        <v>0</v>
      </c>
    </row>
    <row r="125" spans="1:4" x14ac:dyDescent="0.25">
      <c r="A125" s="14">
        <v>46137</v>
      </c>
      <c r="B125" s="15" t="s">
        <v>18</v>
      </c>
      <c r="C125" s="16"/>
      <c r="D125" s="17">
        <f t="shared" si="3"/>
        <v>0</v>
      </c>
    </row>
    <row r="126" spans="1:4" x14ac:dyDescent="0.25">
      <c r="A126" s="14">
        <v>46138</v>
      </c>
      <c r="B126" s="15" t="s">
        <v>20</v>
      </c>
      <c r="C126" s="16"/>
      <c r="D126" s="17">
        <f t="shared" si="3"/>
        <v>0</v>
      </c>
    </row>
    <row r="127" spans="1:4" x14ac:dyDescent="0.25">
      <c r="A127" s="14">
        <v>46139</v>
      </c>
      <c r="B127" s="15" t="s">
        <v>21</v>
      </c>
      <c r="C127" s="16"/>
      <c r="D127" s="17">
        <f t="shared" si="3"/>
        <v>0</v>
      </c>
    </row>
    <row r="128" spans="1:4" x14ac:dyDescent="0.25">
      <c r="A128" s="14">
        <v>46140</v>
      </c>
      <c r="B128" s="15" t="s">
        <v>23</v>
      </c>
      <c r="C128" s="16"/>
      <c r="D128" s="17">
        <f t="shared" si="3"/>
        <v>0</v>
      </c>
    </row>
    <row r="129" spans="1:4" x14ac:dyDescent="0.25">
      <c r="A129" s="14">
        <v>46141</v>
      </c>
      <c r="B129" s="15" t="s">
        <v>24</v>
      </c>
      <c r="C129" s="16"/>
      <c r="D129" s="17">
        <f t="shared" si="3"/>
        <v>0</v>
      </c>
    </row>
    <row r="130" spans="1:4" x14ac:dyDescent="0.25">
      <c r="A130" s="14">
        <v>46142</v>
      </c>
      <c r="B130" s="15" t="s">
        <v>15</v>
      </c>
      <c r="C130" s="16"/>
      <c r="D130" s="17">
        <f t="shared" si="3"/>
        <v>0</v>
      </c>
    </row>
    <row r="131" spans="1:4" x14ac:dyDescent="0.25">
      <c r="A131" s="4"/>
      <c r="B131" s="4"/>
      <c r="C131" s="4"/>
      <c r="D131" s="4"/>
    </row>
    <row r="132" spans="1:4" x14ac:dyDescent="0.25">
      <c r="A132" s="10">
        <v>46143</v>
      </c>
      <c r="B132" s="11" t="s">
        <v>17</v>
      </c>
      <c r="C132" s="12"/>
      <c r="D132" s="13">
        <f t="shared" ref="D132:D162" si="4">IF(C132&gt;0, C132*$B$4, 0)</f>
        <v>0</v>
      </c>
    </row>
    <row r="133" spans="1:4" x14ac:dyDescent="0.25">
      <c r="A133" s="10">
        <v>46144</v>
      </c>
      <c r="B133" s="11" t="s">
        <v>18</v>
      </c>
      <c r="C133" s="12"/>
      <c r="D133" s="13">
        <f t="shared" si="4"/>
        <v>0</v>
      </c>
    </row>
    <row r="134" spans="1:4" x14ac:dyDescent="0.25">
      <c r="A134" s="10">
        <v>46145</v>
      </c>
      <c r="B134" s="11" t="s">
        <v>20</v>
      </c>
      <c r="C134" s="12"/>
      <c r="D134" s="13">
        <f t="shared" si="4"/>
        <v>0</v>
      </c>
    </row>
    <row r="135" spans="1:4" x14ac:dyDescent="0.25">
      <c r="A135" s="10">
        <v>46146</v>
      </c>
      <c r="B135" s="11" t="s">
        <v>21</v>
      </c>
      <c r="C135" s="12"/>
      <c r="D135" s="13">
        <f t="shared" si="4"/>
        <v>0</v>
      </c>
    </row>
    <row r="136" spans="1:4" x14ac:dyDescent="0.25">
      <c r="A136" s="10">
        <v>46147</v>
      </c>
      <c r="B136" s="11" t="s">
        <v>23</v>
      </c>
      <c r="C136" s="12"/>
      <c r="D136" s="13">
        <f t="shared" si="4"/>
        <v>0</v>
      </c>
    </row>
    <row r="137" spans="1:4" x14ac:dyDescent="0.25">
      <c r="A137" s="10">
        <v>46148</v>
      </c>
      <c r="B137" s="11" t="s">
        <v>24</v>
      </c>
      <c r="C137" s="12"/>
      <c r="D137" s="13">
        <f t="shared" si="4"/>
        <v>0</v>
      </c>
    </row>
    <row r="138" spans="1:4" x14ac:dyDescent="0.25">
      <c r="A138" s="10">
        <v>46149</v>
      </c>
      <c r="B138" s="11" t="s">
        <v>15</v>
      </c>
      <c r="C138" s="12"/>
      <c r="D138" s="13">
        <f t="shared" si="4"/>
        <v>0</v>
      </c>
    </row>
    <row r="139" spans="1:4" x14ac:dyDescent="0.25">
      <c r="A139" s="10">
        <v>46150</v>
      </c>
      <c r="B139" s="11" t="s">
        <v>17</v>
      </c>
      <c r="C139" s="12"/>
      <c r="D139" s="13">
        <f t="shared" si="4"/>
        <v>0</v>
      </c>
    </row>
    <row r="140" spans="1:4" x14ac:dyDescent="0.25">
      <c r="A140" s="10">
        <v>46151</v>
      </c>
      <c r="B140" s="11" t="s">
        <v>18</v>
      </c>
      <c r="C140" s="12"/>
      <c r="D140" s="13">
        <f t="shared" si="4"/>
        <v>0</v>
      </c>
    </row>
    <row r="141" spans="1:4" x14ac:dyDescent="0.25">
      <c r="A141" s="10">
        <v>46152</v>
      </c>
      <c r="B141" s="11" t="s">
        <v>20</v>
      </c>
      <c r="C141" s="12"/>
      <c r="D141" s="13">
        <f t="shared" si="4"/>
        <v>0</v>
      </c>
    </row>
    <row r="142" spans="1:4" x14ac:dyDescent="0.25">
      <c r="A142" s="10">
        <v>46153</v>
      </c>
      <c r="B142" s="11" t="s">
        <v>21</v>
      </c>
      <c r="C142" s="12"/>
      <c r="D142" s="13">
        <f t="shared" si="4"/>
        <v>0</v>
      </c>
    </row>
    <row r="143" spans="1:4" x14ac:dyDescent="0.25">
      <c r="A143" s="10">
        <v>46154</v>
      </c>
      <c r="B143" s="11" t="s">
        <v>23</v>
      </c>
      <c r="C143" s="12"/>
      <c r="D143" s="13">
        <f t="shared" si="4"/>
        <v>0</v>
      </c>
    </row>
    <row r="144" spans="1:4" x14ac:dyDescent="0.25">
      <c r="A144" s="10">
        <v>46155</v>
      </c>
      <c r="B144" s="11" t="s">
        <v>24</v>
      </c>
      <c r="C144" s="12"/>
      <c r="D144" s="13">
        <f t="shared" si="4"/>
        <v>0</v>
      </c>
    </row>
    <row r="145" spans="1:4" x14ac:dyDescent="0.25">
      <c r="A145" s="10">
        <v>46156</v>
      </c>
      <c r="B145" s="11" t="s">
        <v>15</v>
      </c>
      <c r="C145" s="12"/>
      <c r="D145" s="13">
        <f t="shared" si="4"/>
        <v>0</v>
      </c>
    </row>
    <row r="146" spans="1:4" x14ac:dyDescent="0.25">
      <c r="A146" s="10">
        <v>46157</v>
      </c>
      <c r="B146" s="11" t="s">
        <v>17</v>
      </c>
      <c r="C146" s="12"/>
      <c r="D146" s="13">
        <f t="shared" si="4"/>
        <v>0</v>
      </c>
    </row>
    <row r="147" spans="1:4" x14ac:dyDescent="0.25">
      <c r="A147" s="10">
        <v>46158</v>
      </c>
      <c r="B147" s="11" t="s">
        <v>18</v>
      </c>
      <c r="C147" s="12"/>
      <c r="D147" s="13">
        <f t="shared" si="4"/>
        <v>0</v>
      </c>
    </row>
    <row r="148" spans="1:4" x14ac:dyDescent="0.25">
      <c r="A148" s="10">
        <v>46159</v>
      </c>
      <c r="B148" s="11" t="s">
        <v>20</v>
      </c>
      <c r="C148" s="12"/>
      <c r="D148" s="13">
        <f t="shared" si="4"/>
        <v>0</v>
      </c>
    </row>
    <row r="149" spans="1:4" x14ac:dyDescent="0.25">
      <c r="A149" s="10">
        <v>46160</v>
      </c>
      <c r="B149" s="11" t="s">
        <v>21</v>
      </c>
      <c r="C149" s="12"/>
      <c r="D149" s="13">
        <f t="shared" si="4"/>
        <v>0</v>
      </c>
    </row>
    <row r="150" spans="1:4" x14ac:dyDescent="0.25">
      <c r="A150" s="10">
        <v>46161</v>
      </c>
      <c r="B150" s="11" t="s">
        <v>23</v>
      </c>
      <c r="C150" s="12"/>
      <c r="D150" s="13">
        <f t="shared" si="4"/>
        <v>0</v>
      </c>
    </row>
    <row r="151" spans="1:4" x14ac:dyDescent="0.25">
      <c r="A151" s="10">
        <v>46162</v>
      </c>
      <c r="B151" s="11" t="s">
        <v>24</v>
      </c>
      <c r="C151" s="12"/>
      <c r="D151" s="13">
        <f t="shared" si="4"/>
        <v>0</v>
      </c>
    </row>
    <row r="152" spans="1:4" x14ac:dyDescent="0.25">
      <c r="A152" s="10">
        <v>46163</v>
      </c>
      <c r="B152" s="11" t="s">
        <v>15</v>
      </c>
      <c r="C152" s="12"/>
      <c r="D152" s="13">
        <f t="shared" si="4"/>
        <v>0</v>
      </c>
    </row>
    <row r="153" spans="1:4" x14ac:dyDescent="0.25">
      <c r="A153" s="10">
        <v>46164</v>
      </c>
      <c r="B153" s="11" t="s">
        <v>17</v>
      </c>
      <c r="C153" s="12"/>
      <c r="D153" s="13">
        <f t="shared" si="4"/>
        <v>0</v>
      </c>
    </row>
    <row r="154" spans="1:4" x14ac:dyDescent="0.25">
      <c r="A154" s="10">
        <v>46165</v>
      </c>
      <c r="B154" s="11" t="s">
        <v>18</v>
      </c>
      <c r="C154" s="12"/>
      <c r="D154" s="13">
        <f t="shared" si="4"/>
        <v>0</v>
      </c>
    </row>
    <row r="155" spans="1:4" x14ac:dyDescent="0.25">
      <c r="A155" s="10">
        <v>46166</v>
      </c>
      <c r="B155" s="11" t="s">
        <v>20</v>
      </c>
      <c r="C155" s="12"/>
      <c r="D155" s="13">
        <f t="shared" si="4"/>
        <v>0</v>
      </c>
    </row>
    <row r="156" spans="1:4" x14ac:dyDescent="0.25">
      <c r="A156" s="10">
        <v>46167</v>
      </c>
      <c r="B156" s="11" t="s">
        <v>21</v>
      </c>
      <c r="C156" s="12"/>
      <c r="D156" s="13">
        <f t="shared" si="4"/>
        <v>0</v>
      </c>
    </row>
    <row r="157" spans="1:4" x14ac:dyDescent="0.25">
      <c r="A157" s="10">
        <v>46168</v>
      </c>
      <c r="B157" s="11" t="s">
        <v>23</v>
      </c>
      <c r="C157" s="12"/>
      <c r="D157" s="13">
        <f t="shared" si="4"/>
        <v>0</v>
      </c>
    </row>
    <row r="158" spans="1:4" x14ac:dyDescent="0.25">
      <c r="A158" s="10">
        <v>46169</v>
      </c>
      <c r="B158" s="11" t="s">
        <v>24</v>
      </c>
      <c r="C158" s="12"/>
      <c r="D158" s="13">
        <f t="shared" si="4"/>
        <v>0</v>
      </c>
    </row>
    <row r="159" spans="1:4" x14ac:dyDescent="0.25">
      <c r="A159" s="10">
        <v>46170</v>
      </c>
      <c r="B159" s="11" t="s">
        <v>15</v>
      </c>
      <c r="C159" s="12"/>
      <c r="D159" s="13">
        <f t="shared" si="4"/>
        <v>0</v>
      </c>
    </row>
    <row r="160" spans="1:4" x14ac:dyDescent="0.25">
      <c r="A160" s="10">
        <v>46171</v>
      </c>
      <c r="B160" s="11" t="s">
        <v>17</v>
      </c>
      <c r="C160" s="12"/>
      <c r="D160" s="13">
        <f t="shared" si="4"/>
        <v>0</v>
      </c>
    </row>
    <row r="161" spans="1:4" x14ac:dyDescent="0.25">
      <c r="A161" s="10">
        <v>46172</v>
      </c>
      <c r="B161" s="11" t="s">
        <v>18</v>
      </c>
      <c r="C161" s="12"/>
      <c r="D161" s="13">
        <f t="shared" si="4"/>
        <v>0</v>
      </c>
    </row>
    <row r="162" spans="1:4" x14ac:dyDescent="0.25">
      <c r="A162" s="10">
        <v>46173</v>
      </c>
      <c r="B162" s="11" t="s">
        <v>20</v>
      </c>
      <c r="C162" s="12"/>
      <c r="D162" s="13">
        <f t="shared" si="4"/>
        <v>0</v>
      </c>
    </row>
    <row r="163" spans="1:4" x14ac:dyDescent="0.25">
      <c r="A163" s="4"/>
      <c r="B163" s="4"/>
      <c r="C163" s="4"/>
      <c r="D163" s="4"/>
    </row>
    <row r="164" spans="1:4" x14ac:dyDescent="0.25">
      <c r="A164" s="14">
        <v>46174</v>
      </c>
      <c r="B164" s="15" t="s">
        <v>21</v>
      </c>
      <c r="C164" s="16"/>
      <c r="D164" s="17">
        <f t="shared" ref="D164:D193" si="5">IF(C164&gt;0, C164*$B$4, 0)</f>
        <v>0</v>
      </c>
    </row>
    <row r="165" spans="1:4" x14ac:dyDescent="0.25">
      <c r="A165" s="14">
        <v>46175</v>
      </c>
      <c r="B165" s="15" t="s">
        <v>23</v>
      </c>
      <c r="C165" s="16"/>
      <c r="D165" s="17">
        <f t="shared" si="5"/>
        <v>0</v>
      </c>
    </row>
    <row r="166" spans="1:4" x14ac:dyDescent="0.25">
      <c r="A166" s="14">
        <v>46176</v>
      </c>
      <c r="B166" s="15" t="s">
        <v>24</v>
      </c>
      <c r="C166" s="16"/>
      <c r="D166" s="17">
        <f t="shared" si="5"/>
        <v>0</v>
      </c>
    </row>
    <row r="167" spans="1:4" x14ac:dyDescent="0.25">
      <c r="A167" s="14">
        <v>46177</v>
      </c>
      <c r="B167" s="15" t="s">
        <v>15</v>
      </c>
      <c r="C167" s="16"/>
      <c r="D167" s="17">
        <f t="shared" si="5"/>
        <v>0</v>
      </c>
    </row>
    <row r="168" spans="1:4" x14ac:dyDescent="0.25">
      <c r="A168" s="14">
        <v>46178</v>
      </c>
      <c r="B168" s="15" t="s">
        <v>17</v>
      </c>
      <c r="C168" s="16"/>
      <c r="D168" s="17">
        <f t="shared" si="5"/>
        <v>0</v>
      </c>
    </row>
    <row r="169" spans="1:4" x14ac:dyDescent="0.25">
      <c r="A169" s="14">
        <v>46179</v>
      </c>
      <c r="B169" s="15" t="s">
        <v>18</v>
      </c>
      <c r="C169" s="16"/>
      <c r="D169" s="17">
        <f t="shared" si="5"/>
        <v>0</v>
      </c>
    </row>
    <row r="170" spans="1:4" x14ac:dyDescent="0.25">
      <c r="A170" s="14">
        <v>46180</v>
      </c>
      <c r="B170" s="15" t="s">
        <v>20</v>
      </c>
      <c r="C170" s="16"/>
      <c r="D170" s="17">
        <f t="shared" si="5"/>
        <v>0</v>
      </c>
    </row>
    <row r="171" spans="1:4" x14ac:dyDescent="0.25">
      <c r="A171" s="14">
        <v>46181</v>
      </c>
      <c r="B171" s="15" t="s">
        <v>21</v>
      </c>
      <c r="C171" s="16"/>
      <c r="D171" s="17">
        <f t="shared" si="5"/>
        <v>0</v>
      </c>
    </row>
    <row r="172" spans="1:4" x14ac:dyDescent="0.25">
      <c r="A172" s="14">
        <v>46182</v>
      </c>
      <c r="B172" s="15" t="s">
        <v>23</v>
      </c>
      <c r="C172" s="16"/>
      <c r="D172" s="17">
        <f t="shared" si="5"/>
        <v>0</v>
      </c>
    </row>
    <row r="173" spans="1:4" x14ac:dyDescent="0.25">
      <c r="A173" s="14">
        <v>46183</v>
      </c>
      <c r="B173" s="15" t="s">
        <v>24</v>
      </c>
      <c r="C173" s="16"/>
      <c r="D173" s="17">
        <f t="shared" si="5"/>
        <v>0</v>
      </c>
    </row>
    <row r="174" spans="1:4" x14ac:dyDescent="0.25">
      <c r="A174" s="14">
        <v>46184</v>
      </c>
      <c r="B174" s="15" t="s">
        <v>15</v>
      </c>
      <c r="C174" s="16"/>
      <c r="D174" s="17">
        <f t="shared" si="5"/>
        <v>0</v>
      </c>
    </row>
    <row r="175" spans="1:4" x14ac:dyDescent="0.25">
      <c r="A175" s="14">
        <v>46185</v>
      </c>
      <c r="B175" s="15" t="s">
        <v>17</v>
      </c>
      <c r="C175" s="16"/>
      <c r="D175" s="17">
        <f t="shared" si="5"/>
        <v>0</v>
      </c>
    </row>
    <row r="176" spans="1:4" x14ac:dyDescent="0.25">
      <c r="A176" s="14">
        <v>46186</v>
      </c>
      <c r="B176" s="15" t="s">
        <v>18</v>
      </c>
      <c r="C176" s="16"/>
      <c r="D176" s="17">
        <f t="shared" si="5"/>
        <v>0</v>
      </c>
    </row>
    <row r="177" spans="1:4" x14ac:dyDescent="0.25">
      <c r="A177" s="14">
        <v>46187</v>
      </c>
      <c r="B177" s="15" t="s">
        <v>20</v>
      </c>
      <c r="C177" s="16"/>
      <c r="D177" s="17">
        <f t="shared" si="5"/>
        <v>0</v>
      </c>
    </row>
    <row r="178" spans="1:4" x14ac:dyDescent="0.25">
      <c r="A178" s="14">
        <v>46188</v>
      </c>
      <c r="B178" s="15" t="s">
        <v>21</v>
      </c>
      <c r="C178" s="16"/>
      <c r="D178" s="17">
        <f t="shared" si="5"/>
        <v>0</v>
      </c>
    </row>
    <row r="179" spans="1:4" x14ac:dyDescent="0.25">
      <c r="A179" s="14">
        <v>46189</v>
      </c>
      <c r="B179" s="15" t="s">
        <v>23</v>
      </c>
      <c r="C179" s="16"/>
      <c r="D179" s="17">
        <f t="shared" si="5"/>
        <v>0</v>
      </c>
    </row>
    <row r="180" spans="1:4" x14ac:dyDescent="0.25">
      <c r="A180" s="14">
        <v>46190</v>
      </c>
      <c r="B180" s="15" t="s">
        <v>24</v>
      </c>
      <c r="C180" s="16"/>
      <c r="D180" s="17">
        <f t="shared" si="5"/>
        <v>0</v>
      </c>
    </row>
    <row r="181" spans="1:4" x14ac:dyDescent="0.25">
      <c r="A181" s="14">
        <v>46191</v>
      </c>
      <c r="B181" s="15" t="s">
        <v>15</v>
      </c>
      <c r="C181" s="16"/>
      <c r="D181" s="17">
        <f t="shared" si="5"/>
        <v>0</v>
      </c>
    </row>
    <row r="182" spans="1:4" x14ac:dyDescent="0.25">
      <c r="A182" s="14">
        <v>46192</v>
      </c>
      <c r="B182" s="15" t="s">
        <v>17</v>
      </c>
      <c r="C182" s="16"/>
      <c r="D182" s="17">
        <f t="shared" si="5"/>
        <v>0</v>
      </c>
    </row>
    <row r="183" spans="1:4" x14ac:dyDescent="0.25">
      <c r="A183" s="14">
        <v>46193</v>
      </c>
      <c r="B183" s="15" t="s">
        <v>18</v>
      </c>
      <c r="C183" s="16"/>
      <c r="D183" s="17">
        <f t="shared" si="5"/>
        <v>0</v>
      </c>
    </row>
    <row r="184" spans="1:4" x14ac:dyDescent="0.25">
      <c r="A184" s="14">
        <v>46194</v>
      </c>
      <c r="B184" s="15" t="s">
        <v>20</v>
      </c>
      <c r="C184" s="16"/>
      <c r="D184" s="17">
        <f t="shared" si="5"/>
        <v>0</v>
      </c>
    </row>
    <row r="185" spans="1:4" x14ac:dyDescent="0.25">
      <c r="A185" s="14">
        <v>46195</v>
      </c>
      <c r="B185" s="15" t="s">
        <v>21</v>
      </c>
      <c r="C185" s="16"/>
      <c r="D185" s="17">
        <f t="shared" si="5"/>
        <v>0</v>
      </c>
    </row>
    <row r="186" spans="1:4" x14ac:dyDescent="0.25">
      <c r="A186" s="14">
        <v>46196</v>
      </c>
      <c r="B186" s="15" t="s">
        <v>23</v>
      </c>
      <c r="C186" s="16"/>
      <c r="D186" s="17">
        <f t="shared" si="5"/>
        <v>0</v>
      </c>
    </row>
    <row r="187" spans="1:4" x14ac:dyDescent="0.25">
      <c r="A187" s="14">
        <v>46197</v>
      </c>
      <c r="B187" s="15" t="s">
        <v>24</v>
      </c>
      <c r="C187" s="16"/>
      <c r="D187" s="17">
        <f t="shared" si="5"/>
        <v>0</v>
      </c>
    </row>
    <row r="188" spans="1:4" x14ac:dyDescent="0.25">
      <c r="A188" s="14">
        <v>46198</v>
      </c>
      <c r="B188" s="15" t="s">
        <v>15</v>
      </c>
      <c r="C188" s="16"/>
      <c r="D188" s="17">
        <f t="shared" si="5"/>
        <v>0</v>
      </c>
    </row>
    <row r="189" spans="1:4" x14ac:dyDescent="0.25">
      <c r="A189" s="14">
        <v>46199</v>
      </c>
      <c r="B189" s="15" t="s">
        <v>17</v>
      </c>
      <c r="C189" s="16"/>
      <c r="D189" s="17">
        <f t="shared" si="5"/>
        <v>0</v>
      </c>
    </row>
    <row r="190" spans="1:4" x14ac:dyDescent="0.25">
      <c r="A190" s="14">
        <v>46200</v>
      </c>
      <c r="B190" s="15" t="s">
        <v>18</v>
      </c>
      <c r="C190" s="16"/>
      <c r="D190" s="17">
        <f t="shared" si="5"/>
        <v>0</v>
      </c>
    </row>
    <row r="191" spans="1:4" x14ac:dyDescent="0.25">
      <c r="A191" s="14">
        <v>46201</v>
      </c>
      <c r="B191" s="15" t="s">
        <v>20</v>
      </c>
      <c r="C191" s="16"/>
      <c r="D191" s="17">
        <f t="shared" si="5"/>
        <v>0</v>
      </c>
    </row>
    <row r="192" spans="1:4" x14ac:dyDescent="0.25">
      <c r="A192" s="14">
        <v>46202</v>
      </c>
      <c r="B192" s="15" t="s">
        <v>21</v>
      </c>
      <c r="C192" s="16"/>
      <c r="D192" s="17">
        <f t="shared" si="5"/>
        <v>0</v>
      </c>
    </row>
    <row r="193" spans="1:4" x14ac:dyDescent="0.25">
      <c r="A193" s="14">
        <v>46203</v>
      </c>
      <c r="B193" s="15" t="s">
        <v>23</v>
      </c>
      <c r="C193" s="16"/>
      <c r="D193" s="17">
        <f t="shared" si="5"/>
        <v>0</v>
      </c>
    </row>
    <row r="194" spans="1:4" x14ac:dyDescent="0.25">
      <c r="A194" s="4"/>
      <c r="B194" s="4"/>
      <c r="C194" s="4"/>
      <c r="D194" s="4"/>
    </row>
    <row r="195" spans="1:4" x14ac:dyDescent="0.25">
      <c r="A195" s="10">
        <v>46204</v>
      </c>
      <c r="B195" s="11" t="s">
        <v>24</v>
      </c>
      <c r="C195" s="12"/>
      <c r="D195" s="13">
        <f t="shared" ref="D195:D225" si="6">IF(C195&gt;0, C195*$B$4, 0)</f>
        <v>0</v>
      </c>
    </row>
    <row r="196" spans="1:4" x14ac:dyDescent="0.25">
      <c r="A196" s="10">
        <v>46205</v>
      </c>
      <c r="B196" s="11" t="s">
        <v>15</v>
      </c>
      <c r="C196" s="12"/>
      <c r="D196" s="13">
        <f t="shared" si="6"/>
        <v>0</v>
      </c>
    </row>
    <row r="197" spans="1:4" x14ac:dyDescent="0.25">
      <c r="A197" s="10">
        <v>46206</v>
      </c>
      <c r="B197" s="11" t="s">
        <v>17</v>
      </c>
      <c r="C197" s="12"/>
      <c r="D197" s="13">
        <f t="shared" si="6"/>
        <v>0</v>
      </c>
    </row>
    <row r="198" spans="1:4" x14ac:dyDescent="0.25">
      <c r="A198" s="10">
        <v>46207</v>
      </c>
      <c r="B198" s="11" t="s">
        <v>18</v>
      </c>
      <c r="C198" s="12"/>
      <c r="D198" s="13">
        <f t="shared" si="6"/>
        <v>0</v>
      </c>
    </row>
    <row r="199" spans="1:4" x14ac:dyDescent="0.25">
      <c r="A199" s="10">
        <v>46208</v>
      </c>
      <c r="B199" s="11" t="s">
        <v>20</v>
      </c>
      <c r="C199" s="12"/>
      <c r="D199" s="13">
        <f t="shared" si="6"/>
        <v>0</v>
      </c>
    </row>
    <row r="200" spans="1:4" x14ac:dyDescent="0.25">
      <c r="A200" s="10">
        <v>46209</v>
      </c>
      <c r="B200" s="11" t="s">
        <v>21</v>
      </c>
      <c r="C200" s="12"/>
      <c r="D200" s="13">
        <f t="shared" si="6"/>
        <v>0</v>
      </c>
    </row>
    <row r="201" spans="1:4" x14ac:dyDescent="0.25">
      <c r="A201" s="10">
        <v>46210</v>
      </c>
      <c r="B201" s="11" t="s">
        <v>23</v>
      </c>
      <c r="C201" s="12"/>
      <c r="D201" s="13">
        <f t="shared" si="6"/>
        <v>0</v>
      </c>
    </row>
    <row r="202" spans="1:4" x14ac:dyDescent="0.25">
      <c r="A202" s="10">
        <v>46211</v>
      </c>
      <c r="B202" s="11" t="s">
        <v>24</v>
      </c>
      <c r="C202" s="12"/>
      <c r="D202" s="13">
        <f t="shared" si="6"/>
        <v>0</v>
      </c>
    </row>
    <row r="203" spans="1:4" x14ac:dyDescent="0.25">
      <c r="A203" s="10">
        <v>46212</v>
      </c>
      <c r="B203" s="11" t="s">
        <v>15</v>
      </c>
      <c r="C203" s="12"/>
      <c r="D203" s="13">
        <f t="shared" si="6"/>
        <v>0</v>
      </c>
    </row>
    <row r="204" spans="1:4" x14ac:dyDescent="0.25">
      <c r="A204" s="10">
        <v>46213</v>
      </c>
      <c r="B204" s="11" t="s">
        <v>17</v>
      </c>
      <c r="C204" s="12"/>
      <c r="D204" s="13">
        <f t="shared" si="6"/>
        <v>0</v>
      </c>
    </row>
    <row r="205" spans="1:4" x14ac:dyDescent="0.25">
      <c r="A205" s="10">
        <v>46214</v>
      </c>
      <c r="B205" s="11" t="s">
        <v>18</v>
      </c>
      <c r="C205" s="12"/>
      <c r="D205" s="13">
        <f t="shared" si="6"/>
        <v>0</v>
      </c>
    </row>
    <row r="206" spans="1:4" x14ac:dyDescent="0.25">
      <c r="A206" s="10">
        <v>46215</v>
      </c>
      <c r="B206" s="11" t="s">
        <v>20</v>
      </c>
      <c r="C206" s="12"/>
      <c r="D206" s="13">
        <f t="shared" si="6"/>
        <v>0</v>
      </c>
    </row>
    <row r="207" spans="1:4" x14ac:dyDescent="0.25">
      <c r="A207" s="10">
        <v>46216</v>
      </c>
      <c r="B207" s="11" t="s">
        <v>21</v>
      </c>
      <c r="C207" s="12"/>
      <c r="D207" s="13">
        <f t="shared" si="6"/>
        <v>0</v>
      </c>
    </row>
    <row r="208" spans="1:4" x14ac:dyDescent="0.25">
      <c r="A208" s="10">
        <v>46217</v>
      </c>
      <c r="B208" s="11" t="s">
        <v>23</v>
      </c>
      <c r="C208" s="12"/>
      <c r="D208" s="13">
        <f t="shared" si="6"/>
        <v>0</v>
      </c>
    </row>
    <row r="209" spans="1:4" x14ac:dyDescent="0.25">
      <c r="A209" s="10">
        <v>46218</v>
      </c>
      <c r="B209" s="11" t="s">
        <v>24</v>
      </c>
      <c r="C209" s="12"/>
      <c r="D209" s="13">
        <f t="shared" si="6"/>
        <v>0</v>
      </c>
    </row>
    <row r="210" spans="1:4" x14ac:dyDescent="0.25">
      <c r="A210" s="10">
        <v>46219</v>
      </c>
      <c r="B210" s="11" t="s">
        <v>15</v>
      </c>
      <c r="C210" s="12"/>
      <c r="D210" s="13">
        <f t="shared" si="6"/>
        <v>0</v>
      </c>
    </row>
    <row r="211" spans="1:4" x14ac:dyDescent="0.25">
      <c r="A211" s="10">
        <v>46220</v>
      </c>
      <c r="B211" s="11" t="s">
        <v>17</v>
      </c>
      <c r="C211" s="12"/>
      <c r="D211" s="13">
        <f t="shared" si="6"/>
        <v>0</v>
      </c>
    </row>
    <row r="212" spans="1:4" x14ac:dyDescent="0.25">
      <c r="A212" s="10">
        <v>46221</v>
      </c>
      <c r="B212" s="11" t="s">
        <v>18</v>
      </c>
      <c r="C212" s="12"/>
      <c r="D212" s="13">
        <f t="shared" si="6"/>
        <v>0</v>
      </c>
    </row>
    <row r="213" spans="1:4" x14ac:dyDescent="0.25">
      <c r="A213" s="10">
        <v>46222</v>
      </c>
      <c r="B213" s="11" t="s">
        <v>20</v>
      </c>
      <c r="C213" s="12"/>
      <c r="D213" s="13">
        <f t="shared" si="6"/>
        <v>0</v>
      </c>
    </row>
    <row r="214" spans="1:4" x14ac:dyDescent="0.25">
      <c r="A214" s="10">
        <v>46223</v>
      </c>
      <c r="B214" s="11" t="s">
        <v>21</v>
      </c>
      <c r="C214" s="12"/>
      <c r="D214" s="13">
        <f t="shared" si="6"/>
        <v>0</v>
      </c>
    </row>
    <row r="215" spans="1:4" x14ac:dyDescent="0.25">
      <c r="A215" s="10">
        <v>46224</v>
      </c>
      <c r="B215" s="11" t="s">
        <v>23</v>
      </c>
      <c r="C215" s="12"/>
      <c r="D215" s="13">
        <f t="shared" si="6"/>
        <v>0</v>
      </c>
    </row>
    <row r="216" spans="1:4" x14ac:dyDescent="0.25">
      <c r="A216" s="10">
        <v>46225</v>
      </c>
      <c r="B216" s="11" t="s">
        <v>24</v>
      </c>
      <c r="C216" s="12"/>
      <c r="D216" s="13">
        <f t="shared" si="6"/>
        <v>0</v>
      </c>
    </row>
    <row r="217" spans="1:4" x14ac:dyDescent="0.25">
      <c r="A217" s="10">
        <v>46226</v>
      </c>
      <c r="B217" s="11" t="s">
        <v>15</v>
      </c>
      <c r="C217" s="12"/>
      <c r="D217" s="13">
        <f t="shared" si="6"/>
        <v>0</v>
      </c>
    </row>
    <row r="218" spans="1:4" x14ac:dyDescent="0.25">
      <c r="A218" s="10">
        <v>46227</v>
      </c>
      <c r="B218" s="11" t="s">
        <v>17</v>
      </c>
      <c r="C218" s="12"/>
      <c r="D218" s="13">
        <f t="shared" si="6"/>
        <v>0</v>
      </c>
    </row>
    <row r="219" spans="1:4" x14ac:dyDescent="0.25">
      <c r="A219" s="10">
        <v>46228</v>
      </c>
      <c r="B219" s="11" t="s">
        <v>18</v>
      </c>
      <c r="C219" s="12"/>
      <c r="D219" s="13">
        <f t="shared" si="6"/>
        <v>0</v>
      </c>
    </row>
    <row r="220" spans="1:4" x14ac:dyDescent="0.25">
      <c r="A220" s="10">
        <v>46229</v>
      </c>
      <c r="B220" s="11" t="s">
        <v>20</v>
      </c>
      <c r="C220" s="12"/>
      <c r="D220" s="13">
        <f t="shared" si="6"/>
        <v>0</v>
      </c>
    </row>
    <row r="221" spans="1:4" x14ac:dyDescent="0.25">
      <c r="A221" s="10">
        <v>46230</v>
      </c>
      <c r="B221" s="11" t="s">
        <v>21</v>
      </c>
      <c r="C221" s="12"/>
      <c r="D221" s="13">
        <f t="shared" si="6"/>
        <v>0</v>
      </c>
    </row>
    <row r="222" spans="1:4" x14ac:dyDescent="0.25">
      <c r="A222" s="10">
        <v>46231</v>
      </c>
      <c r="B222" s="11" t="s">
        <v>23</v>
      </c>
      <c r="C222" s="12"/>
      <c r="D222" s="13">
        <f t="shared" si="6"/>
        <v>0</v>
      </c>
    </row>
    <row r="223" spans="1:4" x14ac:dyDescent="0.25">
      <c r="A223" s="10">
        <v>46232</v>
      </c>
      <c r="B223" s="11" t="s">
        <v>24</v>
      </c>
      <c r="C223" s="12"/>
      <c r="D223" s="13">
        <f t="shared" si="6"/>
        <v>0</v>
      </c>
    </row>
    <row r="224" spans="1:4" x14ac:dyDescent="0.25">
      <c r="A224" s="10">
        <v>46233</v>
      </c>
      <c r="B224" s="11" t="s">
        <v>15</v>
      </c>
      <c r="C224" s="12"/>
      <c r="D224" s="13">
        <f t="shared" si="6"/>
        <v>0</v>
      </c>
    </row>
    <row r="225" spans="1:4" x14ac:dyDescent="0.25">
      <c r="A225" s="10">
        <v>46234</v>
      </c>
      <c r="B225" s="11" t="s">
        <v>17</v>
      </c>
      <c r="C225" s="12"/>
      <c r="D225" s="13">
        <f t="shared" si="6"/>
        <v>0</v>
      </c>
    </row>
    <row r="226" spans="1:4" x14ac:dyDescent="0.25">
      <c r="A226" s="4"/>
      <c r="B226" s="4"/>
      <c r="C226" s="4"/>
      <c r="D226" s="4"/>
    </row>
    <row r="227" spans="1:4" x14ac:dyDescent="0.25">
      <c r="A227" s="14">
        <v>46235</v>
      </c>
      <c r="B227" s="15" t="s">
        <v>18</v>
      </c>
      <c r="C227" s="16"/>
      <c r="D227" s="17">
        <f t="shared" ref="D227:D257" si="7">IF(C227&gt;0, C227*$B$4, 0)</f>
        <v>0</v>
      </c>
    </row>
    <row r="228" spans="1:4" x14ac:dyDescent="0.25">
      <c r="A228" s="14">
        <v>46236</v>
      </c>
      <c r="B228" s="15" t="s">
        <v>20</v>
      </c>
      <c r="C228" s="16"/>
      <c r="D228" s="17">
        <f t="shared" si="7"/>
        <v>0</v>
      </c>
    </row>
    <row r="229" spans="1:4" x14ac:dyDescent="0.25">
      <c r="A229" s="14">
        <v>46237</v>
      </c>
      <c r="B229" s="15" t="s">
        <v>21</v>
      </c>
      <c r="C229" s="16"/>
      <c r="D229" s="17">
        <f t="shared" si="7"/>
        <v>0</v>
      </c>
    </row>
    <row r="230" spans="1:4" x14ac:dyDescent="0.25">
      <c r="A230" s="14">
        <v>46238</v>
      </c>
      <c r="B230" s="15" t="s">
        <v>23</v>
      </c>
      <c r="C230" s="16"/>
      <c r="D230" s="17">
        <f t="shared" si="7"/>
        <v>0</v>
      </c>
    </row>
    <row r="231" spans="1:4" x14ac:dyDescent="0.25">
      <c r="A231" s="14">
        <v>46239</v>
      </c>
      <c r="B231" s="15" t="s">
        <v>24</v>
      </c>
      <c r="C231" s="16"/>
      <c r="D231" s="17">
        <f t="shared" si="7"/>
        <v>0</v>
      </c>
    </row>
    <row r="232" spans="1:4" x14ac:dyDescent="0.25">
      <c r="A232" s="14">
        <v>46240</v>
      </c>
      <c r="B232" s="15" t="s">
        <v>15</v>
      </c>
      <c r="C232" s="16"/>
      <c r="D232" s="17">
        <f t="shared" si="7"/>
        <v>0</v>
      </c>
    </row>
    <row r="233" spans="1:4" x14ac:dyDescent="0.25">
      <c r="A233" s="14">
        <v>46241</v>
      </c>
      <c r="B233" s="15" t="s">
        <v>17</v>
      </c>
      <c r="C233" s="16"/>
      <c r="D233" s="17">
        <f t="shared" si="7"/>
        <v>0</v>
      </c>
    </row>
    <row r="234" spans="1:4" x14ac:dyDescent="0.25">
      <c r="A234" s="14">
        <v>46242</v>
      </c>
      <c r="B234" s="15" t="s">
        <v>18</v>
      </c>
      <c r="C234" s="16"/>
      <c r="D234" s="17">
        <f t="shared" si="7"/>
        <v>0</v>
      </c>
    </row>
    <row r="235" spans="1:4" x14ac:dyDescent="0.25">
      <c r="A235" s="14">
        <v>46243</v>
      </c>
      <c r="B235" s="15" t="s">
        <v>20</v>
      </c>
      <c r="C235" s="16"/>
      <c r="D235" s="17">
        <f t="shared" si="7"/>
        <v>0</v>
      </c>
    </row>
    <row r="236" spans="1:4" x14ac:dyDescent="0.25">
      <c r="A236" s="14">
        <v>46244</v>
      </c>
      <c r="B236" s="15" t="s">
        <v>21</v>
      </c>
      <c r="C236" s="16"/>
      <c r="D236" s="17">
        <f t="shared" si="7"/>
        <v>0</v>
      </c>
    </row>
    <row r="237" spans="1:4" x14ac:dyDescent="0.25">
      <c r="A237" s="14">
        <v>46245</v>
      </c>
      <c r="B237" s="15" t="s">
        <v>23</v>
      </c>
      <c r="C237" s="16"/>
      <c r="D237" s="17">
        <f t="shared" si="7"/>
        <v>0</v>
      </c>
    </row>
    <row r="238" spans="1:4" x14ac:dyDescent="0.25">
      <c r="A238" s="14">
        <v>46246</v>
      </c>
      <c r="B238" s="15" t="s">
        <v>24</v>
      </c>
      <c r="C238" s="16"/>
      <c r="D238" s="17">
        <f t="shared" si="7"/>
        <v>0</v>
      </c>
    </row>
    <row r="239" spans="1:4" x14ac:dyDescent="0.25">
      <c r="A239" s="14">
        <v>46247</v>
      </c>
      <c r="B239" s="15" t="s">
        <v>15</v>
      </c>
      <c r="C239" s="16"/>
      <c r="D239" s="17">
        <f t="shared" si="7"/>
        <v>0</v>
      </c>
    </row>
    <row r="240" spans="1:4" x14ac:dyDescent="0.25">
      <c r="A240" s="14">
        <v>46248</v>
      </c>
      <c r="B240" s="15" t="s">
        <v>17</v>
      </c>
      <c r="C240" s="16"/>
      <c r="D240" s="17">
        <f t="shared" si="7"/>
        <v>0</v>
      </c>
    </row>
    <row r="241" spans="1:4" x14ac:dyDescent="0.25">
      <c r="A241" s="14">
        <v>46249</v>
      </c>
      <c r="B241" s="15" t="s">
        <v>18</v>
      </c>
      <c r="C241" s="16"/>
      <c r="D241" s="17">
        <f t="shared" si="7"/>
        <v>0</v>
      </c>
    </row>
    <row r="242" spans="1:4" x14ac:dyDescent="0.25">
      <c r="A242" s="14">
        <v>46250</v>
      </c>
      <c r="B242" s="15" t="s">
        <v>20</v>
      </c>
      <c r="C242" s="16"/>
      <c r="D242" s="17">
        <f t="shared" si="7"/>
        <v>0</v>
      </c>
    </row>
    <row r="243" spans="1:4" x14ac:dyDescent="0.25">
      <c r="A243" s="14">
        <v>46251</v>
      </c>
      <c r="B243" s="15" t="s">
        <v>21</v>
      </c>
      <c r="C243" s="16"/>
      <c r="D243" s="17">
        <f t="shared" si="7"/>
        <v>0</v>
      </c>
    </row>
    <row r="244" spans="1:4" x14ac:dyDescent="0.25">
      <c r="A244" s="14">
        <v>46252</v>
      </c>
      <c r="B244" s="15" t="s">
        <v>23</v>
      </c>
      <c r="C244" s="16"/>
      <c r="D244" s="17">
        <f t="shared" si="7"/>
        <v>0</v>
      </c>
    </row>
    <row r="245" spans="1:4" x14ac:dyDescent="0.25">
      <c r="A245" s="14">
        <v>46253</v>
      </c>
      <c r="B245" s="15" t="s">
        <v>24</v>
      </c>
      <c r="C245" s="16"/>
      <c r="D245" s="17">
        <f t="shared" si="7"/>
        <v>0</v>
      </c>
    </row>
    <row r="246" spans="1:4" x14ac:dyDescent="0.25">
      <c r="A246" s="14">
        <v>46254</v>
      </c>
      <c r="B246" s="15" t="s">
        <v>15</v>
      </c>
      <c r="C246" s="16"/>
      <c r="D246" s="17">
        <f t="shared" si="7"/>
        <v>0</v>
      </c>
    </row>
    <row r="247" spans="1:4" x14ac:dyDescent="0.25">
      <c r="A247" s="14">
        <v>46255</v>
      </c>
      <c r="B247" s="15" t="s">
        <v>17</v>
      </c>
      <c r="C247" s="16"/>
      <c r="D247" s="17">
        <f t="shared" si="7"/>
        <v>0</v>
      </c>
    </row>
    <row r="248" spans="1:4" x14ac:dyDescent="0.25">
      <c r="A248" s="14">
        <v>46256</v>
      </c>
      <c r="B248" s="15" t="s">
        <v>18</v>
      </c>
      <c r="C248" s="16"/>
      <c r="D248" s="17">
        <f t="shared" si="7"/>
        <v>0</v>
      </c>
    </row>
    <row r="249" spans="1:4" x14ac:dyDescent="0.25">
      <c r="A249" s="14">
        <v>46257</v>
      </c>
      <c r="B249" s="15" t="s">
        <v>20</v>
      </c>
      <c r="C249" s="16"/>
      <c r="D249" s="17">
        <f t="shared" si="7"/>
        <v>0</v>
      </c>
    </row>
    <row r="250" spans="1:4" x14ac:dyDescent="0.25">
      <c r="A250" s="14">
        <v>46258</v>
      </c>
      <c r="B250" s="15" t="s">
        <v>21</v>
      </c>
      <c r="C250" s="16"/>
      <c r="D250" s="17">
        <f t="shared" si="7"/>
        <v>0</v>
      </c>
    </row>
    <row r="251" spans="1:4" x14ac:dyDescent="0.25">
      <c r="A251" s="14">
        <v>46259</v>
      </c>
      <c r="B251" s="15" t="s">
        <v>23</v>
      </c>
      <c r="C251" s="16"/>
      <c r="D251" s="17">
        <f t="shared" si="7"/>
        <v>0</v>
      </c>
    </row>
    <row r="252" spans="1:4" x14ac:dyDescent="0.25">
      <c r="A252" s="14">
        <v>46260</v>
      </c>
      <c r="B252" s="15" t="s">
        <v>24</v>
      </c>
      <c r="C252" s="16"/>
      <c r="D252" s="17">
        <f t="shared" si="7"/>
        <v>0</v>
      </c>
    </row>
    <row r="253" spans="1:4" x14ac:dyDescent="0.25">
      <c r="A253" s="14">
        <v>46261</v>
      </c>
      <c r="B253" s="15" t="s">
        <v>15</v>
      </c>
      <c r="C253" s="16"/>
      <c r="D253" s="17">
        <f t="shared" si="7"/>
        <v>0</v>
      </c>
    </row>
    <row r="254" spans="1:4" x14ac:dyDescent="0.25">
      <c r="A254" s="14">
        <v>46262</v>
      </c>
      <c r="B254" s="15" t="s">
        <v>17</v>
      </c>
      <c r="C254" s="16"/>
      <c r="D254" s="17">
        <f t="shared" si="7"/>
        <v>0</v>
      </c>
    </row>
    <row r="255" spans="1:4" x14ac:dyDescent="0.25">
      <c r="A255" s="14">
        <v>46263</v>
      </c>
      <c r="B255" s="15" t="s">
        <v>18</v>
      </c>
      <c r="C255" s="16"/>
      <c r="D255" s="17">
        <f t="shared" si="7"/>
        <v>0</v>
      </c>
    </row>
    <row r="256" spans="1:4" x14ac:dyDescent="0.25">
      <c r="A256" s="14">
        <v>46264</v>
      </c>
      <c r="B256" s="15" t="s">
        <v>20</v>
      </c>
      <c r="C256" s="16"/>
      <c r="D256" s="17">
        <f t="shared" si="7"/>
        <v>0</v>
      </c>
    </row>
    <row r="257" spans="1:4" x14ac:dyDescent="0.25">
      <c r="A257" s="14">
        <v>46265</v>
      </c>
      <c r="B257" s="15" t="s">
        <v>21</v>
      </c>
      <c r="C257" s="16"/>
      <c r="D257" s="17">
        <f t="shared" si="7"/>
        <v>0</v>
      </c>
    </row>
    <row r="258" spans="1:4" x14ac:dyDescent="0.25">
      <c r="A258" s="4"/>
      <c r="B258" s="4"/>
      <c r="C258" s="4"/>
      <c r="D258" s="4"/>
    </row>
    <row r="259" spans="1:4" x14ac:dyDescent="0.25">
      <c r="A259" s="10">
        <v>46266</v>
      </c>
      <c r="B259" s="11" t="s">
        <v>23</v>
      </c>
      <c r="C259" s="12"/>
      <c r="D259" s="13">
        <f t="shared" ref="D259:D288" si="8">IF(C259&gt;0, C259*$B$4, 0)</f>
        <v>0</v>
      </c>
    </row>
    <row r="260" spans="1:4" x14ac:dyDescent="0.25">
      <c r="A260" s="10">
        <v>46267</v>
      </c>
      <c r="B260" s="11" t="s">
        <v>24</v>
      </c>
      <c r="C260" s="12"/>
      <c r="D260" s="13">
        <f t="shared" si="8"/>
        <v>0</v>
      </c>
    </row>
    <row r="261" spans="1:4" x14ac:dyDescent="0.25">
      <c r="A261" s="10">
        <v>46268</v>
      </c>
      <c r="B261" s="11" t="s">
        <v>15</v>
      </c>
      <c r="C261" s="12"/>
      <c r="D261" s="13">
        <f t="shared" si="8"/>
        <v>0</v>
      </c>
    </row>
    <row r="262" spans="1:4" x14ac:dyDescent="0.25">
      <c r="A262" s="10">
        <v>46269</v>
      </c>
      <c r="B262" s="11" t="s">
        <v>17</v>
      </c>
      <c r="C262" s="12"/>
      <c r="D262" s="13">
        <f t="shared" si="8"/>
        <v>0</v>
      </c>
    </row>
    <row r="263" spans="1:4" x14ac:dyDescent="0.25">
      <c r="A263" s="10">
        <v>46270</v>
      </c>
      <c r="B263" s="11" t="s">
        <v>18</v>
      </c>
      <c r="C263" s="12"/>
      <c r="D263" s="13">
        <f t="shared" si="8"/>
        <v>0</v>
      </c>
    </row>
    <row r="264" spans="1:4" x14ac:dyDescent="0.25">
      <c r="A264" s="10">
        <v>46271</v>
      </c>
      <c r="B264" s="11" t="s">
        <v>20</v>
      </c>
      <c r="C264" s="12"/>
      <c r="D264" s="13">
        <f t="shared" si="8"/>
        <v>0</v>
      </c>
    </row>
    <row r="265" spans="1:4" x14ac:dyDescent="0.25">
      <c r="A265" s="10">
        <v>46272</v>
      </c>
      <c r="B265" s="11" t="s">
        <v>21</v>
      </c>
      <c r="C265" s="12"/>
      <c r="D265" s="13">
        <f t="shared" si="8"/>
        <v>0</v>
      </c>
    </row>
    <row r="266" spans="1:4" x14ac:dyDescent="0.25">
      <c r="A266" s="10">
        <v>46273</v>
      </c>
      <c r="B266" s="11" t="s">
        <v>23</v>
      </c>
      <c r="C266" s="12"/>
      <c r="D266" s="13">
        <f t="shared" si="8"/>
        <v>0</v>
      </c>
    </row>
    <row r="267" spans="1:4" x14ac:dyDescent="0.25">
      <c r="A267" s="10">
        <v>46274</v>
      </c>
      <c r="B267" s="11" t="s">
        <v>24</v>
      </c>
      <c r="C267" s="12"/>
      <c r="D267" s="13">
        <f t="shared" si="8"/>
        <v>0</v>
      </c>
    </row>
    <row r="268" spans="1:4" x14ac:dyDescent="0.25">
      <c r="A268" s="10">
        <v>46275</v>
      </c>
      <c r="B268" s="11" t="s">
        <v>15</v>
      </c>
      <c r="C268" s="12"/>
      <c r="D268" s="13">
        <f t="shared" si="8"/>
        <v>0</v>
      </c>
    </row>
    <row r="269" spans="1:4" x14ac:dyDescent="0.25">
      <c r="A269" s="10">
        <v>46276</v>
      </c>
      <c r="B269" s="11" t="s">
        <v>17</v>
      </c>
      <c r="C269" s="12"/>
      <c r="D269" s="13">
        <f t="shared" si="8"/>
        <v>0</v>
      </c>
    </row>
    <row r="270" spans="1:4" x14ac:dyDescent="0.25">
      <c r="A270" s="10">
        <v>46277</v>
      </c>
      <c r="B270" s="11" t="s">
        <v>18</v>
      </c>
      <c r="C270" s="12"/>
      <c r="D270" s="13">
        <f t="shared" si="8"/>
        <v>0</v>
      </c>
    </row>
    <row r="271" spans="1:4" x14ac:dyDescent="0.25">
      <c r="A271" s="10">
        <v>46278</v>
      </c>
      <c r="B271" s="11" t="s">
        <v>20</v>
      </c>
      <c r="C271" s="12"/>
      <c r="D271" s="13">
        <f t="shared" si="8"/>
        <v>0</v>
      </c>
    </row>
    <row r="272" spans="1:4" x14ac:dyDescent="0.25">
      <c r="A272" s="10">
        <v>46279</v>
      </c>
      <c r="B272" s="11" t="s">
        <v>21</v>
      </c>
      <c r="C272" s="12"/>
      <c r="D272" s="13">
        <f t="shared" si="8"/>
        <v>0</v>
      </c>
    </row>
    <row r="273" spans="1:4" x14ac:dyDescent="0.25">
      <c r="A273" s="10">
        <v>46280</v>
      </c>
      <c r="B273" s="11" t="s">
        <v>23</v>
      </c>
      <c r="C273" s="12"/>
      <c r="D273" s="13">
        <f t="shared" si="8"/>
        <v>0</v>
      </c>
    </row>
    <row r="274" spans="1:4" x14ac:dyDescent="0.25">
      <c r="A274" s="10">
        <v>46281</v>
      </c>
      <c r="B274" s="11" t="s">
        <v>24</v>
      </c>
      <c r="C274" s="12"/>
      <c r="D274" s="13">
        <f t="shared" si="8"/>
        <v>0</v>
      </c>
    </row>
    <row r="275" spans="1:4" x14ac:dyDescent="0.25">
      <c r="A275" s="10">
        <v>46282</v>
      </c>
      <c r="B275" s="11" t="s">
        <v>15</v>
      </c>
      <c r="C275" s="12"/>
      <c r="D275" s="13">
        <f t="shared" si="8"/>
        <v>0</v>
      </c>
    </row>
    <row r="276" spans="1:4" x14ac:dyDescent="0.25">
      <c r="A276" s="10">
        <v>46283</v>
      </c>
      <c r="B276" s="11" t="s">
        <v>17</v>
      </c>
      <c r="C276" s="12"/>
      <c r="D276" s="13">
        <f t="shared" si="8"/>
        <v>0</v>
      </c>
    </row>
    <row r="277" spans="1:4" x14ac:dyDescent="0.25">
      <c r="A277" s="10">
        <v>46284</v>
      </c>
      <c r="B277" s="11" t="s">
        <v>18</v>
      </c>
      <c r="C277" s="12"/>
      <c r="D277" s="13">
        <f t="shared" si="8"/>
        <v>0</v>
      </c>
    </row>
    <row r="278" spans="1:4" x14ac:dyDescent="0.25">
      <c r="A278" s="10">
        <v>46285</v>
      </c>
      <c r="B278" s="11" t="s">
        <v>20</v>
      </c>
      <c r="C278" s="12"/>
      <c r="D278" s="13">
        <f t="shared" si="8"/>
        <v>0</v>
      </c>
    </row>
    <row r="279" spans="1:4" x14ac:dyDescent="0.25">
      <c r="A279" s="10">
        <v>46286</v>
      </c>
      <c r="B279" s="11" t="s">
        <v>21</v>
      </c>
      <c r="C279" s="12"/>
      <c r="D279" s="13">
        <f t="shared" si="8"/>
        <v>0</v>
      </c>
    </row>
    <row r="280" spans="1:4" x14ac:dyDescent="0.25">
      <c r="A280" s="10">
        <v>46287</v>
      </c>
      <c r="B280" s="11" t="s">
        <v>23</v>
      </c>
      <c r="C280" s="12"/>
      <c r="D280" s="13">
        <f t="shared" si="8"/>
        <v>0</v>
      </c>
    </row>
    <row r="281" spans="1:4" x14ac:dyDescent="0.25">
      <c r="A281" s="10">
        <v>46288</v>
      </c>
      <c r="B281" s="11" t="s">
        <v>24</v>
      </c>
      <c r="C281" s="12"/>
      <c r="D281" s="13">
        <f t="shared" si="8"/>
        <v>0</v>
      </c>
    </row>
    <row r="282" spans="1:4" x14ac:dyDescent="0.25">
      <c r="A282" s="10">
        <v>46289</v>
      </c>
      <c r="B282" s="11" t="s">
        <v>15</v>
      </c>
      <c r="C282" s="12"/>
      <c r="D282" s="13">
        <f t="shared" si="8"/>
        <v>0</v>
      </c>
    </row>
    <row r="283" spans="1:4" x14ac:dyDescent="0.25">
      <c r="A283" s="10">
        <v>46290</v>
      </c>
      <c r="B283" s="11" t="s">
        <v>17</v>
      </c>
      <c r="C283" s="12"/>
      <c r="D283" s="13">
        <f t="shared" si="8"/>
        <v>0</v>
      </c>
    </row>
    <row r="284" spans="1:4" x14ac:dyDescent="0.25">
      <c r="A284" s="10">
        <v>46291</v>
      </c>
      <c r="B284" s="11" t="s">
        <v>18</v>
      </c>
      <c r="C284" s="12"/>
      <c r="D284" s="13">
        <f t="shared" si="8"/>
        <v>0</v>
      </c>
    </row>
    <row r="285" spans="1:4" x14ac:dyDescent="0.25">
      <c r="A285" s="10">
        <v>46292</v>
      </c>
      <c r="B285" s="11" t="s">
        <v>20</v>
      </c>
      <c r="C285" s="12"/>
      <c r="D285" s="13">
        <f t="shared" si="8"/>
        <v>0</v>
      </c>
    </row>
    <row r="286" spans="1:4" x14ac:dyDescent="0.25">
      <c r="A286" s="10">
        <v>46293</v>
      </c>
      <c r="B286" s="11" t="s">
        <v>21</v>
      </c>
      <c r="C286" s="12"/>
      <c r="D286" s="13">
        <f t="shared" si="8"/>
        <v>0</v>
      </c>
    </row>
    <row r="287" spans="1:4" x14ac:dyDescent="0.25">
      <c r="A287" s="10">
        <v>46294</v>
      </c>
      <c r="B287" s="11" t="s">
        <v>23</v>
      </c>
      <c r="C287" s="12"/>
      <c r="D287" s="13">
        <f t="shared" si="8"/>
        <v>0</v>
      </c>
    </row>
    <row r="288" spans="1:4" x14ac:dyDescent="0.25">
      <c r="A288" s="10">
        <v>46295</v>
      </c>
      <c r="B288" s="11" t="s">
        <v>24</v>
      </c>
      <c r="C288" s="12"/>
      <c r="D288" s="13">
        <f t="shared" si="8"/>
        <v>0</v>
      </c>
    </row>
    <row r="289" spans="1:4" x14ac:dyDescent="0.25">
      <c r="A289" s="4"/>
      <c r="B289" s="4"/>
      <c r="C289" s="4"/>
      <c r="D289" s="4"/>
    </row>
    <row r="290" spans="1:4" x14ac:dyDescent="0.25">
      <c r="A290" s="14">
        <v>46296</v>
      </c>
      <c r="B290" s="15" t="s">
        <v>15</v>
      </c>
      <c r="C290" s="16"/>
      <c r="D290" s="17">
        <f t="shared" ref="D290:D320" si="9">IF(C290&gt;0, C290*$B$4, 0)</f>
        <v>0</v>
      </c>
    </row>
    <row r="291" spans="1:4" x14ac:dyDescent="0.25">
      <c r="A291" s="14">
        <v>46297</v>
      </c>
      <c r="B291" s="15" t="s">
        <v>17</v>
      </c>
      <c r="C291" s="16"/>
      <c r="D291" s="17">
        <f t="shared" si="9"/>
        <v>0</v>
      </c>
    </row>
    <row r="292" spans="1:4" x14ac:dyDescent="0.25">
      <c r="A292" s="14">
        <v>46298</v>
      </c>
      <c r="B292" s="15" t="s">
        <v>18</v>
      </c>
      <c r="C292" s="16"/>
      <c r="D292" s="17">
        <f t="shared" si="9"/>
        <v>0</v>
      </c>
    </row>
    <row r="293" spans="1:4" x14ac:dyDescent="0.25">
      <c r="A293" s="14">
        <v>46299</v>
      </c>
      <c r="B293" s="15" t="s">
        <v>20</v>
      </c>
      <c r="C293" s="16"/>
      <c r="D293" s="17">
        <f t="shared" si="9"/>
        <v>0</v>
      </c>
    </row>
    <row r="294" spans="1:4" x14ac:dyDescent="0.25">
      <c r="A294" s="14">
        <v>46300</v>
      </c>
      <c r="B294" s="15" t="s">
        <v>21</v>
      </c>
      <c r="C294" s="16"/>
      <c r="D294" s="17">
        <f t="shared" si="9"/>
        <v>0</v>
      </c>
    </row>
    <row r="295" spans="1:4" x14ac:dyDescent="0.25">
      <c r="A295" s="14">
        <v>46301</v>
      </c>
      <c r="B295" s="15" t="s">
        <v>23</v>
      </c>
      <c r="C295" s="16"/>
      <c r="D295" s="17">
        <f t="shared" si="9"/>
        <v>0</v>
      </c>
    </row>
    <row r="296" spans="1:4" x14ac:dyDescent="0.25">
      <c r="A296" s="14">
        <v>46302</v>
      </c>
      <c r="B296" s="15" t="s">
        <v>24</v>
      </c>
      <c r="C296" s="16"/>
      <c r="D296" s="17">
        <f t="shared" si="9"/>
        <v>0</v>
      </c>
    </row>
    <row r="297" spans="1:4" x14ac:dyDescent="0.25">
      <c r="A297" s="14">
        <v>46303</v>
      </c>
      <c r="B297" s="15" t="s">
        <v>15</v>
      </c>
      <c r="C297" s="16"/>
      <c r="D297" s="17">
        <f t="shared" si="9"/>
        <v>0</v>
      </c>
    </row>
    <row r="298" spans="1:4" x14ac:dyDescent="0.25">
      <c r="A298" s="14">
        <v>46304</v>
      </c>
      <c r="B298" s="15" t="s">
        <v>17</v>
      </c>
      <c r="C298" s="16"/>
      <c r="D298" s="17">
        <f t="shared" si="9"/>
        <v>0</v>
      </c>
    </row>
    <row r="299" spans="1:4" x14ac:dyDescent="0.25">
      <c r="A299" s="14">
        <v>46305</v>
      </c>
      <c r="B299" s="15" t="s">
        <v>18</v>
      </c>
      <c r="C299" s="16"/>
      <c r="D299" s="17">
        <f t="shared" si="9"/>
        <v>0</v>
      </c>
    </row>
    <row r="300" spans="1:4" x14ac:dyDescent="0.25">
      <c r="A300" s="14">
        <v>46306</v>
      </c>
      <c r="B300" s="15" t="s">
        <v>20</v>
      </c>
      <c r="C300" s="16"/>
      <c r="D300" s="17">
        <f t="shared" si="9"/>
        <v>0</v>
      </c>
    </row>
    <row r="301" spans="1:4" x14ac:dyDescent="0.25">
      <c r="A301" s="14">
        <v>46307</v>
      </c>
      <c r="B301" s="15" t="s">
        <v>21</v>
      </c>
      <c r="C301" s="16"/>
      <c r="D301" s="17">
        <f t="shared" si="9"/>
        <v>0</v>
      </c>
    </row>
    <row r="302" spans="1:4" x14ac:dyDescent="0.25">
      <c r="A302" s="14">
        <v>46308</v>
      </c>
      <c r="B302" s="15" t="s">
        <v>23</v>
      </c>
      <c r="C302" s="16"/>
      <c r="D302" s="17">
        <f t="shared" si="9"/>
        <v>0</v>
      </c>
    </row>
    <row r="303" spans="1:4" x14ac:dyDescent="0.25">
      <c r="A303" s="14">
        <v>46309</v>
      </c>
      <c r="B303" s="15" t="s">
        <v>24</v>
      </c>
      <c r="C303" s="16"/>
      <c r="D303" s="17">
        <f t="shared" si="9"/>
        <v>0</v>
      </c>
    </row>
    <row r="304" spans="1:4" x14ac:dyDescent="0.25">
      <c r="A304" s="14">
        <v>46310</v>
      </c>
      <c r="B304" s="15" t="s">
        <v>15</v>
      </c>
      <c r="C304" s="16"/>
      <c r="D304" s="17">
        <f t="shared" si="9"/>
        <v>0</v>
      </c>
    </row>
    <row r="305" spans="1:4" x14ac:dyDescent="0.25">
      <c r="A305" s="14">
        <v>46311</v>
      </c>
      <c r="B305" s="15" t="s">
        <v>17</v>
      </c>
      <c r="C305" s="16"/>
      <c r="D305" s="17">
        <f t="shared" si="9"/>
        <v>0</v>
      </c>
    </row>
    <row r="306" spans="1:4" x14ac:dyDescent="0.25">
      <c r="A306" s="14">
        <v>46312</v>
      </c>
      <c r="B306" s="15" t="s">
        <v>18</v>
      </c>
      <c r="C306" s="16"/>
      <c r="D306" s="17">
        <f t="shared" si="9"/>
        <v>0</v>
      </c>
    </row>
    <row r="307" spans="1:4" x14ac:dyDescent="0.25">
      <c r="A307" s="14">
        <v>46313</v>
      </c>
      <c r="B307" s="15" t="s">
        <v>20</v>
      </c>
      <c r="C307" s="16"/>
      <c r="D307" s="17">
        <f t="shared" si="9"/>
        <v>0</v>
      </c>
    </row>
    <row r="308" spans="1:4" x14ac:dyDescent="0.25">
      <c r="A308" s="14">
        <v>46314</v>
      </c>
      <c r="B308" s="15" t="s">
        <v>21</v>
      </c>
      <c r="C308" s="16"/>
      <c r="D308" s="17">
        <f t="shared" si="9"/>
        <v>0</v>
      </c>
    </row>
    <row r="309" spans="1:4" x14ac:dyDescent="0.25">
      <c r="A309" s="14">
        <v>46315</v>
      </c>
      <c r="B309" s="15" t="s">
        <v>23</v>
      </c>
      <c r="C309" s="16"/>
      <c r="D309" s="17">
        <f t="shared" si="9"/>
        <v>0</v>
      </c>
    </row>
    <row r="310" spans="1:4" x14ac:dyDescent="0.25">
      <c r="A310" s="14">
        <v>46316</v>
      </c>
      <c r="B310" s="15" t="s">
        <v>24</v>
      </c>
      <c r="C310" s="16"/>
      <c r="D310" s="17">
        <f t="shared" si="9"/>
        <v>0</v>
      </c>
    </row>
    <row r="311" spans="1:4" x14ac:dyDescent="0.25">
      <c r="A311" s="14">
        <v>46317</v>
      </c>
      <c r="B311" s="15" t="s">
        <v>15</v>
      </c>
      <c r="C311" s="16"/>
      <c r="D311" s="17">
        <f t="shared" si="9"/>
        <v>0</v>
      </c>
    </row>
    <row r="312" spans="1:4" x14ac:dyDescent="0.25">
      <c r="A312" s="14">
        <v>46318</v>
      </c>
      <c r="B312" s="15" t="s">
        <v>17</v>
      </c>
      <c r="C312" s="16"/>
      <c r="D312" s="17">
        <f t="shared" si="9"/>
        <v>0</v>
      </c>
    </row>
    <row r="313" spans="1:4" x14ac:dyDescent="0.25">
      <c r="A313" s="14">
        <v>46319</v>
      </c>
      <c r="B313" s="15" t="s">
        <v>18</v>
      </c>
      <c r="C313" s="16"/>
      <c r="D313" s="17">
        <f t="shared" si="9"/>
        <v>0</v>
      </c>
    </row>
    <row r="314" spans="1:4" x14ac:dyDescent="0.25">
      <c r="A314" s="14">
        <v>46320</v>
      </c>
      <c r="B314" s="15" t="s">
        <v>20</v>
      </c>
      <c r="C314" s="16"/>
      <c r="D314" s="17">
        <f t="shared" si="9"/>
        <v>0</v>
      </c>
    </row>
    <row r="315" spans="1:4" x14ac:dyDescent="0.25">
      <c r="A315" s="14">
        <v>46321</v>
      </c>
      <c r="B315" s="15" t="s">
        <v>21</v>
      </c>
      <c r="C315" s="16"/>
      <c r="D315" s="17">
        <f t="shared" si="9"/>
        <v>0</v>
      </c>
    </row>
    <row r="316" spans="1:4" x14ac:dyDescent="0.25">
      <c r="A316" s="14">
        <v>46322</v>
      </c>
      <c r="B316" s="15" t="s">
        <v>23</v>
      </c>
      <c r="C316" s="16"/>
      <c r="D316" s="17">
        <f t="shared" si="9"/>
        <v>0</v>
      </c>
    </row>
    <row r="317" spans="1:4" x14ac:dyDescent="0.25">
      <c r="A317" s="14">
        <v>46323</v>
      </c>
      <c r="B317" s="15" t="s">
        <v>24</v>
      </c>
      <c r="C317" s="16"/>
      <c r="D317" s="17">
        <f t="shared" si="9"/>
        <v>0</v>
      </c>
    </row>
    <row r="318" spans="1:4" x14ac:dyDescent="0.25">
      <c r="A318" s="14">
        <v>46324</v>
      </c>
      <c r="B318" s="15" t="s">
        <v>15</v>
      </c>
      <c r="C318" s="16"/>
      <c r="D318" s="17">
        <f t="shared" si="9"/>
        <v>0</v>
      </c>
    </row>
    <row r="319" spans="1:4" x14ac:dyDescent="0.25">
      <c r="A319" s="14">
        <v>46325</v>
      </c>
      <c r="B319" s="15" t="s">
        <v>17</v>
      </c>
      <c r="C319" s="16"/>
      <c r="D319" s="17">
        <f t="shared" si="9"/>
        <v>0</v>
      </c>
    </row>
    <row r="320" spans="1:4" x14ac:dyDescent="0.25">
      <c r="A320" s="14">
        <v>46326</v>
      </c>
      <c r="B320" s="15" t="s">
        <v>18</v>
      </c>
      <c r="C320" s="16"/>
      <c r="D320" s="17">
        <f t="shared" si="9"/>
        <v>0</v>
      </c>
    </row>
    <row r="321" spans="1:4" x14ac:dyDescent="0.25">
      <c r="A321" s="4"/>
      <c r="B321" s="4"/>
      <c r="C321" s="4"/>
      <c r="D321" s="4"/>
    </row>
    <row r="322" spans="1:4" x14ac:dyDescent="0.25">
      <c r="A322" s="10">
        <v>46327</v>
      </c>
      <c r="B322" s="11" t="s">
        <v>20</v>
      </c>
      <c r="C322" s="12"/>
      <c r="D322" s="13">
        <f t="shared" ref="D322:D351" si="10">IF(C322&gt;0, C322*$B$4, 0)</f>
        <v>0</v>
      </c>
    </row>
    <row r="323" spans="1:4" x14ac:dyDescent="0.25">
      <c r="A323" s="10">
        <v>46328</v>
      </c>
      <c r="B323" s="11" t="s">
        <v>21</v>
      </c>
      <c r="C323" s="12"/>
      <c r="D323" s="13">
        <f t="shared" si="10"/>
        <v>0</v>
      </c>
    </row>
    <row r="324" spans="1:4" x14ac:dyDescent="0.25">
      <c r="A324" s="10">
        <v>46329</v>
      </c>
      <c r="B324" s="11" t="s">
        <v>23</v>
      </c>
      <c r="C324" s="12"/>
      <c r="D324" s="13">
        <f t="shared" si="10"/>
        <v>0</v>
      </c>
    </row>
    <row r="325" spans="1:4" x14ac:dyDescent="0.25">
      <c r="A325" s="10">
        <v>46330</v>
      </c>
      <c r="B325" s="11" t="s">
        <v>24</v>
      </c>
      <c r="C325" s="12"/>
      <c r="D325" s="13">
        <f t="shared" si="10"/>
        <v>0</v>
      </c>
    </row>
    <row r="326" spans="1:4" x14ac:dyDescent="0.25">
      <c r="A326" s="10">
        <v>46331</v>
      </c>
      <c r="B326" s="11" t="s">
        <v>15</v>
      </c>
      <c r="C326" s="12"/>
      <c r="D326" s="13">
        <f t="shared" si="10"/>
        <v>0</v>
      </c>
    </row>
    <row r="327" spans="1:4" x14ac:dyDescent="0.25">
      <c r="A327" s="10">
        <v>46332</v>
      </c>
      <c r="B327" s="11" t="s">
        <v>17</v>
      </c>
      <c r="C327" s="12"/>
      <c r="D327" s="13">
        <f t="shared" si="10"/>
        <v>0</v>
      </c>
    </row>
    <row r="328" spans="1:4" x14ac:dyDescent="0.25">
      <c r="A328" s="10">
        <v>46333</v>
      </c>
      <c r="B328" s="11" t="s">
        <v>18</v>
      </c>
      <c r="C328" s="12"/>
      <c r="D328" s="13">
        <f t="shared" si="10"/>
        <v>0</v>
      </c>
    </row>
    <row r="329" spans="1:4" x14ac:dyDescent="0.25">
      <c r="A329" s="10">
        <v>46334</v>
      </c>
      <c r="B329" s="11" t="s">
        <v>20</v>
      </c>
      <c r="C329" s="12"/>
      <c r="D329" s="13">
        <f t="shared" si="10"/>
        <v>0</v>
      </c>
    </row>
    <row r="330" spans="1:4" x14ac:dyDescent="0.25">
      <c r="A330" s="10">
        <v>46335</v>
      </c>
      <c r="B330" s="11" t="s">
        <v>21</v>
      </c>
      <c r="C330" s="12"/>
      <c r="D330" s="13">
        <f t="shared" si="10"/>
        <v>0</v>
      </c>
    </row>
    <row r="331" spans="1:4" x14ac:dyDescent="0.25">
      <c r="A331" s="10">
        <v>46336</v>
      </c>
      <c r="B331" s="11" t="s">
        <v>23</v>
      </c>
      <c r="C331" s="12"/>
      <c r="D331" s="13">
        <f t="shared" si="10"/>
        <v>0</v>
      </c>
    </row>
    <row r="332" spans="1:4" x14ac:dyDescent="0.25">
      <c r="A332" s="10">
        <v>46337</v>
      </c>
      <c r="B332" s="11" t="s">
        <v>24</v>
      </c>
      <c r="C332" s="12"/>
      <c r="D332" s="13">
        <f t="shared" si="10"/>
        <v>0</v>
      </c>
    </row>
    <row r="333" spans="1:4" x14ac:dyDescent="0.25">
      <c r="A333" s="10">
        <v>46338</v>
      </c>
      <c r="B333" s="11" t="s">
        <v>15</v>
      </c>
      <c r="C333" s="12"/>
      <c r="D333" s="13">
        <f t="shared" si="10"/>
        <v>0</v>
      </c>
    </row>
    <row r="334" spans="1:4" x14ac:dyDescent="0.25">
      <c r="A334" s="10">
        <v>46339</v>
      </c>
      <c r="B334" s="11" t="s">
        <v>17</v>
      </c>
      <c r="C334" s="12"/>
      <c r="D334" s="13">
        <f t="shared" si="10"/>
        <v>0</v>
      </c>
    </row>
    <row r="335" spans="1:4" x14ac:dyDescent="0.25">
      <c r="A335" s="10">
        <v>46340</v>
      </c>
      <c r="B335" s="11" t="s">
        <v>18</v>
      </c>
      <c r="C335" s="12"/>
      <c r="D335" s="13">
        <f t="shared" si="10"/>
        <v>0</v>
      </c>
    </row>
    <row r="336" spans="1:4" x14ac:dyDescent="0.25">
      <c r="A336" s="10">
        <v>46341</v>
      </c>
      <c r="B336" s="11" t="s">
        <v>20</v>
      </c>
      <c r="C336" s="12"/>
      <c r="D336" s="13">
        <f t="shared" si="10"/>
        <v>0</v>
      </c>
    </row>
    <row r="337" spans="1:4" x14ac:dyDescent="0.25">
      <c r="A337" s="10">
        <v>46342</v>
      </c>
      <c r="B337" s="11" t="s">
        <v>21</v>
      </c>
      <c r="C337" s="12"/>
      <c r="D337" s="13">
        <f t="shared" si="10"/>
        <v>0</v>
      </c>
    </row>
    <row r="338" spans="1:4" x14ac:dyDescent="0.25">
      <c r="A338" s="10">
        <v>46343</v>
      </c>
      <c r="B338" s="11" t="s">
        <v>23</v>
      </c>
      <c r="C338" s="12"/>
      <c r="D338" s="13">
        <f t="shared" si="10"/>
        <v>0</v>
      </c>
    </row>
    <row r="339" spans="1:4" x14ac:dyDescent="0.25">
      <c r="A339" s="10">
        <v>46344</v>
      </c>
      <c r="B339" s="11" t="s">
        <v>24</v>
      </c>
      <c r="C339" s="12"/>
      <c r="D339" s="13">
        <f t="shared" si="10"/>
        <v>0</v>
      </c>
    </row>
    <row r="340" spans="1:4" x14ac:dyDescent="0.25">
      <c r="A340" s="10">
        <v>46345</v>
      </c>
      <c r="B340" s="11" t="s">
        <v>15</v>
      </c>
      <c r="C340" s="12"/>
      <c r="D340" s="13">
        <f t="shared" si="10"/>
        <v>0</v>
      </c>
    </row>
    <row r="341" spans="1:4" x14ac:dyDescent="0.25">
      <c r="A341" s="10">
        <v>46346</v>
      </c>
      <c r="B341" s="11" t="s">
        <v>17</v>
      </c>
      <c r="C341" s="12"/>
      <c r="D341" s="13">
        <f t="shared" si="10"/>
        <v>0</v>
      </c>
    </row>
    <row r="342" spans="1:4" x14ac:dyDescent="0.25">
      <c r="A342" s="10">
        <v>46347</v>
      </c>
      <c r="B342" s="11" t="s">
        <v>18</v>
      </c>
      <c r="C342" s="12"/>
      <c r="D342" s="13">
        <f t="shared" si="10"/>
        <v>0</v>
      </c>
    </row>
    <row r="343" spans="1:4" x14ac:dyDescent="0.25">
      <c r="A343" s="10">
        <v>46348</v>
      </c>
      <c r="B343" s="11" t="s">
        <v>20</v>
      </c>
      <c r="C343" s="12"/>
      <c r="D343" s="13">
        <f t="shared" si="10"/>
        <v>0</v>
      </c>
    </row>
    <row r="344" spans="1:4" x14ac:dyDescent="0.25">
      <c r="A344" s="10">
        <v>46349</v>
      </c>
      <c r="B344" s="11" t="s">
        <v>21</v>
      </c>
      <c r="C344" s="12"/>
      <c r="D344" s="13">
        <f t="shared" si="10"/>
        <v>0</v>
      </c>
    </row>
    <row r="345" spans="1:4" x14ac:dyDescent="0.25">
      <c r="A345" s="10">
        <v>46350</v>
      </c>
      <c r="B345" s="11" t="s">
        <v>23</v>
      </c>
      <c r="C345" s="12"/>
      <c r="D345" s="13">
        <f t="shared" si="10"/>
        <v>0</v>
      </c>
    </row>
    <row r="346" spans="1:4" x14ac:dyDescent="0.25">
      <c r="A346" s="10">
        <v>46351</v>
      </c>
      <c r="B346" s="11" t="s">
        <v>24</v>
      </c>
      <c r="C346" s="12"/>
      <c r="D346" s="13">
        <f t="shared" si="10"/>
        <v>0</v>
      </c>
    </row>
    <row r="347" spans="1:4" x14ac:dyDescent="0.25">
      <c r="A347" s="10">
        <v>46352</v>
      </c>
      <c r="B347" s="11" t="s">
        <v>15</v>
      </c>
      <c r="C347" s="12"/>
      <c r="D347" s="13">
        <f t="shared" si="10"/>
        <v>0</v>
      </c>
    </row>
    <row r="348" spans="1:4" x14ac:dyDescent="0.25">
      <c r="A348" s="10">
        <v>46353</v>
      </c>
      <c r="B348" s="11" t="s">
        <v>17</v>
      </c>
      <c r="C348" s="12"/>
      <c r="D348" s="13">
        <f t="shared" si="10"/>
        <v>0</v>
      </c>
    </row>
    <row r="349" spans="1:4" x14ac:dyDescent="0.25">
      <c r="A349" s="10">
        <v>46354</v>
      </c>
      <c r="B349" s="11" t="s">
        <v>18</v>
      </c>
      <c r="C349" s="12"/>
      <c r="D349" s="13">
        <f t="shared" si="10"/>
        <v>0</v>
      </c>
    </row>
    <row r="350" spans="1:4" x14ac:dyDescent="0.25">
      <c r="A350" s="10">
        <v>46355</v>
      </c>
      <c r="B350" s="11" t="s">
        <v>20</v>
      </c>
      <c r="C350" s="12"/>
      <c r="D350" s="13">
        <f t="shared" si="10"/>
        <v>0</v>
      </c>
    </row>
    <row r="351" spans="1:4" x14ac:dyDescent="0.25">
      <c r="A351" s="10">
        <v>46356</v>
      </c>
      <c r="B351" s="11" t="s">
        <v>21</v>
      </c>
      <c r="C351" s="12"/>
      <c r="D351" s="13">
        <f t="shared" si="10"/>
        <v>0</v>
      </c>
    </row>
    <row r="352" spans="1:4" x14ac:dyDescent="0.25">
      <c r="A352" s="4"/>
      <c r="B352" s="4"/>
      <c r="C352" s="4"/>
      <c r="D352" s="4"/>
    </row>
    <row r="353" spans="1:4" x14ac:dyDescent="0.25">
      <c r="A353" s="14">
        <v>46357</v>
      </c>
      <c r="B353" s="15" t="s">
        <v>23</v>
      </c>
      <c r="C353" s="16"/>
      <c r="D353" s="17">
        <f t="shared" ref="D353:D383" si="11">IF(C353&gt;0, C353*$B$4, 0)</f>
        <v>0</v>
      </c>
    </row>
    <row r="354" spans="1:4" x14ac:dyDescent="0.25">
      <c r="A354" s="14">
        <v>46358</v>
      </c>
      <c r="B354" s="15" t="s">
        <v>24</v>
      </c>
      <c r="C354" s="16"/>
      <c r="D354" s="17">
        <f t="shared" si="11"/>
        <v>0</v>
      </c>
    </row>
    <row r="355" spans="1:4" x14ac:dyDescent="0.25">
      <c r="A355" s="14">
        <v>46359</v>
      </c>
      <c r="B355" s="15" t="s">
        <v>15</v>
      </c>
      <c r="C355" s="16"/>
      <c r="D355" s="17">
        <f t="shared" si="11"/>
        <v>0</v>
      </c>
    </row>
    <row r="356" spans="1:4" x14ac:dyDescent="0.25">
      <c r="A356" s="14">
        <v>46360</v>
      </c>
      <c r="B356" s="15" t="s">
        <v>17</v>
      </c>
      <c r="C356" s="16"/>
      <c r="D356" s="17">
        <f t="shared" si="11"/>
        <v>0</v>
      </c>
    </row>
    <row r="357" spans="1:4" x14ac:dyDescent="0.25">
      <c r="A357" s="14">
        <v>46361</v>
      </c>
      <c r="B357" s="15" t="s">
        <v>18</v>
      </c>
      <c r="C357" s="16"/>
      <c r="D357" s="17">
        <f t="shared" si="11"/>
        <v>0</v>
      </c>
    </row>
    <row r="358" spans="1:4" x14ac:dyDescent="0.25">
      <c r="A358" s="14">
        <v>46362</v>
      </c>
      <c r="B358" s="15" t="s">
        <v>20</v>
      </c>
      <c r="C358" s="16"/>
      <c r="D358" s="17">
        <f t="shared" si="11"/>
        <v>0</v>
      </c>
    </row>
    <row r="359" spans="1:4" x14ac:dyDescent="0.25">
      <c r="A359" s="14">
        <v>46363</v>
      </c>
      <c r="B359" s="15" t="s">
        <v>21</v>
      </c>
      <c r="C359" s="16"/>
      <c r="D359" s="17">
        <f t="shared" si="11"/>
        <v>0</v>
      </c>
    </row>
    <row r="360" spans="1:4" x14ac:dyDescent="0.25">
      <c r="A360" s="14">
        <v>46364</v>
      </c>
      <c r="B360" s="15" t="s">
        <v>23</v>
      </c>
      <c r="C360" s="16"/>
      <c r="D360" s="17">
        <f t="shared" si="11"/>
        <v>0</v>
      </c>
    </row>
    <row r="361" spans="1:4" x14ac:dyDescent="0.25">
      <c r="A361" s="14">
        <v>46365</v>
      </c>
      <c r="B361" s="15" t="s">
        <v>24</v>
      </c>
      <c r="C361" s="16"/>
      <c r="D361" s="17">
        <f t="shared" si="11"/>
        <v>0</v>
      </c>
    </row>
    <row r="362" spans="1:4" x14ac:dyDescent="0.25">
      <c r="A362" s="14">
        <v>46366</v>
      </c>
      <c r="B362" s="15" t="s">
        <v>15</v>
      </c>
      <c r="C362" s="16"/>
      <c r="D362" s="17">
        <f t="shared" si="11"/>
        <v>0</v>
      </c>
    </row>
    <row r="363" spans="1:4" x14ac:dyDescent="0.25">
      <c r="A363" s="14">
        <v>46367</v>
      </c>
      <c r="B363" s="15" t="s">
        <v>17</v>
      </c>
      <c r="C363" s="16"/>
      <c r="D363" s="17">
        <f t="shared" si="11"/>
        <v>0</v>
      </c>
    </row>
    <row r="364" spans="1:4" x14ac:dyDescent="0.25">
      <c r="A364" s="14">
        <v>46368</v>
      </c>
      <c r="B364" s="15" t="s">
        <v>18</v>
      </c>
      <c r="C364" s="16"/>
      <c r="D364" s="17">
        <f t="shared" si="11"/>
        <v>0</v>
      </c>
    </row>
    <row r="365" spans="1:4" x14ac:dyDescent="0.25">
      <c r="A365" s="14">
        <v>46369</v>
      </c>
      <c r="B365" s="15" t="s">
        <v>20</v>
      </c>
      <c r="C365" s="16"/>
      <c r="D365" s="17">
        <f t="shared" si="11"/>
        <v>0</v>
      </c>
    </row>
    <row r="366" spans="1:4" x14ac:dyDescent="0.25">
      <c r="A366" s="14">
        <v>46370</v>
      </c>
      <c r="B366" s="15" t="s">
        <v>21</v>
      </c>
      <c r="C366" s="16"/>
      <c r="D366" s="17">
        <f t="shared" si="11"/>
        <v>0</v>
      </c>
    </row>
    <row r="367" spans="1:4" x14ac:dyDescent="0.25">
      <c r="A367" s="14">
        <v>46371</v>
      </c>
      <c r="B367" s="15" t="s">
        <v>23</v>
      </c>
      <c r="C367" s="16"/>
      <c r="D367" s="17">
        <f t="shared" si="11"/>
        <v>0</v>
      </c>
    </row>
    <row r="368" spans="1:4" x14ac:dyDescent="0.25">
      <c r="A368" s="14">
        <v>46372</v>
      </c>
      <c r="B368" s="15" t="s">
        <v>24</v>
      </c>
      <c r="C368" s="16"/>
      <c r="D368" s="17">
        <f t="shared" si="11"/>
        <v>0</v>
      </c>
    </row>
    <row r="369" spans="1:4" x14ac:dyDescent="0.25">
      <c r="A369" s="14">
        <v>46373</v>
      </c>
      <c r="B369" s="15" t="s">
        <v>15</v>
      </c>
      <c r="C369" s="16"/>
      <c r="D369" s="17">
        <f t="shared" si="11"/>
        <v>0</v>
      </c>
    </row>
    <row r="370" spans="1:4" x14ac:dyDescent="0.25">
      <c r="A370" s="14">
        <v>46374</v>
      </c>
      <c r="B370" s="15" t="s">
        <v>17</v>
      </c>
      <c r="C370" s="16"/>
      <c r="D370" s="17">
        <f t="shared" si="11"/>
        <v>0</v>
      </c>
    </row>
    <row r="371" spans="1:4" x14ac:dyDescent="0.25">
      <c r="A371" s="14">
        <v>46375</v>
      </c>
      <c r="B371" s="15" t="s">
        <v>18</v>
      </c>
      <c r="C371" s="16"/>
      <c r="D371" s="17">
        <f t="shared" si="11"/>
        <v>0</v>
      </c>
    </row>
    <row r="372" spans="1:4" x14ac:dyDescent="0.25">
      <c r="A372" s="14">
        <v>46376</v>
      </c>
      <c r="B372" s="15" t="s">
        <v>20</v>
      </c>
      <c r="C372" s="16"/>
      <c r="D372" s="17">
        <f t="shared" si="11"/>
        <v>0</v>
      </c>
    </row>
    <row r="373" spans="1:4" x14ac:dyDescent="0.25">
      <c r="A373" s="14">
        <v>46377</v>
      </c>
      <c r="B373" s="15" t="s">
        <v>21</v>
      </c>
      <c r="C373" s="16"/>
      <c r="D373" s="17">
        <f t="shared" si="11"/>
        <v>0</v>
      </c>
    </row>
    <row r="374" spans="1:4" x14ac:dyDescent="0.25">
      <c r="A374" s="14">
        <v>46378</v>
      </c>
      <c r="B374" s="15" t="s">
        <v>23</v>
      </c>
      <c r="C374" s="16"/>
      <c r="D374" s="17">
        <f t="shared" si="11"/>
        <v>0</v>
      </c>
    </row>
    <row r="375" spans="1:4" x14ac:dyDescent="0.25">
      <c r="A375" s="14">
        <v>46379</v>
      </c>
      <c r="B375" s="15" t="s">
        <v>24</v>
      </c>
      <c r="C375" s="16"/>
      <c r="D375" s="17">
        <f t="shared" si="11"/>
        <v>0</v>
      </c>
    </row>
    <row r="376" spans="1:4" x14ac:dyDescent="0.25">
      <c r="A376" s="14">
        <v>46380</v>
      </c>
      <c r="B376" s="15" t="s">
        <v>15</v>
      </c>
      <c r="C376" s="16"/>
      <c r="D376" s="17">
        <f t="shared" si="11"/>
        <v>0</v>
      </c>
    </row>
    <row r="377" spans="1:4" x14ac:dyDescent="0.25">
      <c r="A377" s="14">
        <v>46381</v>
      </c>
      <c r="B377" s="15" t="s">
        <v>17</v>
      </c>
      <c r="C377" s="16"/>
      <c r="D377" s="17">
        <f t="shared" si="11"/>
        <v>0</v>
      </c>
    </row>
    <row r="378" spans="1:4" x14ac:dyDescent="0.25">
      <c r="A378" s="14">
        <v>46382</v>
      </c>
      <c r="B378" s="15" t="s">
        <v>18</v>
      </c>
      <c r="C378" s="16"/>
      <c r="D378" s="17">
        <f t="shared" si="11"/>
        <v>0</v>
      </c>
    </row>
    <row r="379" spans="1:4" x14ac:dyDescent="0.25">
      <c r="A379" s="14">
        <v>46383</v>
      </c>
      <c r="B379" s="15" t="s">
        <v>20</v>
      </c>
      <c r="C379" s="16"/>
      <c r="D379" s="17">
        <f t="shared" si="11"/>
        <v>0</v>
      </c>
    </row>
    <row r="380" spans="1:4" x14ac:dyDescent="0.25">
      <c r="A380" s="14">
        <v>46384</v>
      </c>
      <c r="B380" s="15" t="s">
        <v>21</v>
      </c>
      <c r="C380" s="16"/>
      <c r="D380" s="17">
        <f t="shared" si="11"/>
        <v>0</v>
      </c>
    </row>
    <row r="381" spans="1:4" x14ac:dyDescent="0.25">
      <c r="A381" s="14">
        <v>46385</v>
      </c>
      <c r="B381" s="15" t="s">
        <v>23</v>
      </c>
      <c r="C381" s="16"/>
      <c r="D381" s="17">
        <f t="shared" si="11"/>
        <v>0</v>
      </c>
    </row>
    <row r="382" spans="1:4" x14ac:dyDescent="0.25">
      <c r="A382" s="14">
        <v>46386</v>
      </c>
      <c r="B382" s="15" t="s">
        <v>24</v>
      </c>
      <c r="C382" s="16"/>
      <c r="D382" s="17">
        <f t="shared" si="11"/>
        <v>0</v>
      </c>
    </row>
    <row r="383" spans="1:4" x14ac:dyDescent="0.25">
      <c r="A383" s="14">
        <v>46387</v>
      </c>
      <c r="B383" s="15" t="s">
        <v>15</v>
      </c>
      <c r="C383" s="16"/>
      <c r="D383" s="17">
        <f t="shared" si="1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Dmitriy</cp:lastModifiedBy>
  <dcterms:created xsi:type="dcterms:W3CDTF">2026-05-25T23:22:36Z</dcterms:created>
  <dcterms:modified xsi:type="dcterms:W3CDTF">2026-05-25T23:33:01Z</dcterms:modified>
</cp:coreProperties>
</file>